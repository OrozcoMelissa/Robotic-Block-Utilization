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5777\Desktop\Portfolio\"/>
    </mc:Choice>
  </mc:AlternateContent>
  <xr:revisionPtr revIDLastSave="0" documentId="13_ncr:1_{D4E6515C-52F7-47D5-BD74-8FB2A0F071AC}" xr6:coauthVersionLast="47" xr6:coauthVersionMax="47" xr10:uidLastSave="{00000000-0000-0000-0000-000000000000}"/>
  <bookViews>
    <workbookView xWindow="3204" yWindow="0" windowWidth="17280" windowHeight="9960" xr2:uid="{284A42FF-C009-4EC9-AA8D-B1B242D48AF5}"/>
  </bookViews>
  <sheets>
    <sheet name="1st Week" sheetId="3" r:id="rId1"/>
    <sheet name="2nd Week" sheetId="2" r:id="rId2"/>
    <sheet name="3rd Week" sheetId="4" r:id="rId3"/>
    <sheet name="4th Week" sheetId="5" r:id="rId4"/>
    <sheet name="5th Week" sheetId="6" r:id="rId5"/>
  </sheets>
  <definedNames>
    <definedName name="_xlnm.Print_Area" localSheetId="0">'1st Week'!$A$1:$N$21</definedName>
    <definedName name="_xlnm.Print_Area" localSheetId="1">'2nd Week'!$A$1:$N$16</definedName>
    <definedName name="_xlnm.Print_Area" localSheetId="2">'3rd Week'!$A$1:$N$16</definedName>
    <definedName name="_xlnm.Print_Area" localSheetId="3">'4th Week'!$A$1:$N$18</definedName>
    <definedName name="_xlnm.Print_Area" localSheetId="4">'5th Week'!$A$1:$N$13</definedName>
    <definedName name="_xlnm.Print_Titles" localSheetId="0">'1st Week'!$1:$2</definedName>
    <definedName name="_xlnm.Print_Titles" localSheetId="1">'2nd Week'!$1:$2</definedName>
    <definedName name="_xlnm.Print_Titles" localSheetId="2">'3rd Week'!$1:$2</definedName>
    <definedName name="_xlnm.Print_Titles" localSheetId="3">'4th Week'!$1:$2</definedName>
    <definedName name="_xlnm.Print_Titles" localSheetId="4">'5th Week'!$1:$2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6" l="1"/>
  <c r="J13" i="6"/>
  <c r="I13" i="6"/>
  <c r="H13" i="6"/>
  <c r="G13" i="6"/>
  <c r="F13" i="6"/>
  <c r="E13" i="6"/>
  <c r="D13" i="6"/>
  <c r="C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K18" i="5"/>
  <c r="J18" i="5"/>
  <c r="I18" i="5"/>
  <c r="H18" i="5"/>
  <c r="G18" i="5"/>
  <c r="F18" i="5"/>
  <c r="E18" i="5"/>
  <c r="D18" i="5"/>
  <c r="C18" i="5"/>
  <c r="M17" i="5"/>
  <c r="L17" i="5"/>
  <c r="M16" i="5"/>
  <c r="L16" i="5"/>
  <c r="M12" i="5"/>
  <c r="L12" i="5"/>
  <c r="M11" i="5"/>
  <c r="L11" i="5"/>
  <c r="M10" i="5"/>
  <c r="L10" i="5"/>
  <c r="M8" i="5"/>
  <c r="L8" i="5"/>
  <c r="M7" i="5"/>
  <c r="L7" i="5"/>
  <c r="M6" i="5"/>
  <c r="L6" i="5"/>
  <c r="M5" i="5"/>
  <c r="L5" i="5"/>
  <c r="M4" i="5"/>
  <c r="L4" i="5"/>
  <c r="M3" i="5"/>
  <c r="L3" i="5"/>
  <c r="K16" i="4"/>
  <c r="J16" i="4"/>
  <c r="I16" i="4"/>
  <c r="H16" i="4"/>
  <c r="G16" i="4"/>
  <c r="F16" i="4"/>
  <c r="E16" i="4"/>
  <c r="D16" i="4"/>
  <c r="C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K21" i="3"/>
  <c r="J21" i="3"/>
  <c r="I21" i="3"/>
  <c r="H21" i="3"/>
  <c r="G21" i="3"/>
  <c r="F21" i="3"/>
  <c r="E21" i="3"/>
  <c r="D21" i="3"/>
  <c r="C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8" i="3"/>
  <c r="L8" i="3"/>
  <c r="M7" i="3"/>
  <c r="L7" i="3"/>
  <c r="M6" i="3"/>
  <c r="L6" i="3"/>
  <c r="M5" i="3"/>
  <c r="L5" i="3"/>
  <c r="M4" i="3"/>
  <c r="L4" i="3"/>
  <c r="M3" i="3"/>
  <c r="L3" i="3"/>
  <c r="M15" i="2"/>
  <c r="L15" i="2"/>
  <c r="M14" i="2"/>
  <c r="L14" i="2"/>
  <c r="M13" i="2"/>
  <c r="L13" i="2"/>
  <c r="M12" i="2"/>
  <c r="L12" i="2"/>
  <c r="M11" i="2"/>
  <c r="L11" i="2"/>
  <c r="M9" i="2"/>
  <c r="L9" i="2"/>
  <c r="M8" i="2"/>
  <c r="L8" i="2"/>
  <c r="M7" i="2"/>
  <c r="L7" i="2"/>
  <c r="M6" i="2"/>
  <c r="L6" i="2"/>
  <c r="M4" i="2"/>
  <c r="L4" i="2"/>
  <c r="M3" i="2"/>
  <c r="L3" i="2"/>
  <c r="J16" i="2"/>
  <c r="K16" i="2"/>
  <c r="I16" i="2"/>
  <c r="H16" i="2"/>
  <c r="G16" i="2"/>
  <c r="F16" i="2"/>
  <c r="E16" i="2"/>
  <c r="D16" i="2"/>
  <c r="C16" i="2"/>
  <c r="M5" i="2"/>
  <c r="L5" i="2"/>
  <c r="M13" i="6" l="1"/>
  <c r="L13" i="6"/>
  <c r="M18" i="5"/>
  <c r="L18" i="5"/>
  <c r="L16" i="4"/>
  <c r="M16" i="4"/>
  <c r="M16" i="2"/>
  <c r="L21" i="3"/>
  <c r="M21" i="3"/>
  <c r="L16" i="2"/>
</calcChain>
</file>

<file path=xl/sharedStrings.xml><?xml version="1.0" encoding="utf-8"?>
<sst xmlns="http://schemas.openxmlformats.org/spreadsheetml/2006/main" count="203" uniqueCount="58">
  <si>
    <t xml:space="preserve">BLOCK </t>
  </si>
  <si>
    <t>Days of week/times</t>
  </si>
  <si>
    <t>6 Month Avg</t>
  </si>
  <si>
    <t>3 Month Avg</t>
  </si>
  <si>
    <t xml:space="preserve">Comments </t>
  </si>
  <si>
    <t>Date</t>
  </si>
  <si>
    <t xml:space="preserve">% Utilized </t>
  </si>
  <si>
    <t>11-Dec  25-Dec</t>
  </si>
  <si>
    <t>14-Dec  21-Dec  28-Dec</t>
  </si>
  <si>
    <t>11-Jan  18-Jan  25-Jan</t>
  </si>
  <si>
    <t>13-Dec  27-Dec</t>
  </si>
  <si>
    <t>10-Jan  24-Jan</t>
  </si>
  <si>
    <t>Hillcrest Bariatric</t>
  </si>
  <si>
    <t>Tue</t>
  </si>
  <si>
    <t>15-Dec   29-Dec</t>
  </si>
  <si>
    <t>1-Dec  8-Dec  15-Dec  22-Dec   29-Dec</t>
  </si>
  <si>
    <t xml:space="preserve">5-Jan  12-Jan  19-Jan  26-Jan  </t>
  </si>
  <si>
    <t>100 (released)</t>
  </si>
  <si>
    <t xml:space="preserve">8-Jan   22-Jan  </t>
  </si>
  <si>
    <t xml:space="preserve">12-Dec   26-Dec </t>
  </si>
  <si>
    <t xml:space="preserve">9-Jan  23-Jan </t>
  </si>
  <si>
    <t>San Diego Ortho</t>
  </si>
  <si>
    <t>4-Dec  11-Dec  18-Dec   25-Dec</t>
  </si>
  <si>
    <t xml:space="preserve">1-Jan  8-Jan  15-Jan 22-Jan  29-Jan </t>
  </si>
  <si>
    <t>Sandoval</t>
  </si>
  <si>
    <t>Average block utilization</t>
  </si>
  <si>
    <t>0 - No cases  / Did NOT release blk</t>
  </si>
  <si>
    <t xml:space="preserve"> </t>
  </si>
  <si>
    <t>100-  Released entire block for month and/or holiday - rcv'd 100% credit</t>
  </si>
  <si>
    <t xml:space="preserve">NA - block had not begun </t>
  </si>
  <si>
    <t>0-64%</t>
  </si>
  <si>
    <t>65-74%</t>
  </si>
  <si>
    <t>75-100%</t>
  </si>
  <si>
    <r>
      <t xml:space="preserve">OR 9- </t>
    </r>
    <r>
      <rPr>
        <b/>
        <sz val="9"/>
        <color rgb="FF0070C0"/>
        <rFont val="Arial"/>
        <family val="2"/>
      </rPr>
      <t>ROBOT-</t>
    </r>
    <r>
      <rPr>
        <b/>
        <sz val="9"/>
        <color rgb="FFFF0000"/>
        <rFont val="Arial"/>
        <family val="2"/>
      </rPr>
      <t xml:space="preserve"> Wed</t>
    </r>
    <r>
      <rPr>
        <sz val="9"/>
        <rFont val="Arial"/>
        <family val="2"/>
      </rPr>
      <t xml:space="preserve"> 7:30 - 15:00 ( 1, 2, 3 )</t>
    </r>
  </si>
  <si>
    <r>
      <t xml:space="preserve">OR 9- </t>
    </r>
    <r>
      <rPr>
        <b/>
        <sz val="9"/>
        <color rgb="FF0070C0"/>
        <rFont val="Arial"/>
        <family val="2"/>
      </rPr>
      <t xml:space="preserve">ROBOT- </t>
    </r>
    <r>
      <rPr>
        <b/>
        <sz val="9"/>
        <color rgb="FFFF0000"/>
        <rFont val="Arial"/>
        <family val="2"/>
      </rPr>
      <t>Thu</t>
    </r>
    <r>
      <rPr>
        <sz val="9"/>
        <rFont val="Arial"/>
        <family val="2"/>
      </rPr>
      <t xml:space="preserve"> 7:30 - 17:00 </t>
    </r>
  </si>
  <si>
    <r>
      <t xml:space="preserve">OR 8- </t>
    </r>
    <r>
      <rPr>
        <b/>
        <sz val="9"/>
        <color rgb="FF0070C0"/>
        <rFont val="Arial"/>
        <family val="2"/>
      </rPr>
      <t>ROBOT-</t>
    </r>
    <r>
      <rPr>
        <b/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 xml:space="preserve">Mon </t>
    </r>
    <r>
      <rPr>
        <sz val="9"/>
        <rFont val="Arial"/>
        <family val="2"/>
      </rPr>
      <t xml:space="preserve"> 6:15 - 17:00</t>
    </r>
  </si>
  <si>
    <r>
      <rPr>
        <b/>
        <sz val="9"/>
        <rFont val="Arial"/>
        <family val="2"/>
      </rPr>
      <t>OR 8-</t>
    </r>
    <r>
      <rPr>
        <sz val="9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Tue</t>
    </r>
    <r>
      <rPr>
        <sz val="9"/>
        <rFont val="Arial"/>
        <family val="2"/>
      </rPr>
      <t xml:space="preserve">  6:15 - 17:00</t>
    </r>
  </si>
  <si>
    <r>
      <rPr>
        <b/>
        <sz val="9"/>
        <rFont val="Arial"/>
        <family val="2"/>
      </rPr>
      <t>OR 8-</t>
    </r>
    <r>
      <rPr>
        <sz val="9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color rgb="FFFF0000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Wed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 xml:space="preserve"> 6:15 - 17:00</t>
    </r>
  </si>
  <si>
    <r>
      <rPr>
        <b/>
        <sz val="9"/>
        <rFont val="Arial"/>
        <family val="2"/>
      </rPr>
      <t xml:space="preserve">OR 8- </t>
    </r>
    <r>
      <rPr>
        <b/>
        <sz val="9"/>
        <color rgb="FF0070C0"/>
        <rFont val="Arial"/>
        <family val="2"/>
      </rPr>
      <t xml:space="preserve">ROBOT- </t>
    </r>
    <r>
      <rPr>
        <b/>
        <sz val="9"/>
        <color rgb="FFFF0000"/>
        <rFont val="Arial"/>
        <family val="2"/>
      </rPr>
      <t xml:space="preserve">Fri </t>
    </r>
    <r>
      <rPr>
        <sz val="9"/>
        <rFont val="Arial"/>
        <family val="2"/>
      </rPr>
      <t xml:space="preserve"> 6:15 - 17:00</t>
    </r>
  </si>
  <si>
    <r>
      <t xml:space="preserve">OR 3- </t>
    </r>
    <r>
      <rPr>
        <sz val="9"/>
        <rFont val="Arial"/>
        <family val="2"/>
      </rPr>
      <t>Fri 7:30 - 11:30 ( 1 )</t>
    </r>
    <r>
      <rPr>
        <b/>
        <sz val="9"/>
        <rFont val="Arial"/>
        <family val="2"/>
      </rPr>
      <t xml:space="preserve">, OR 9- </t>
    </r>
    <r>
      <rPr>
        <sz val="9"/>
        <rFont val="Arial"/>
        <family val="2"/>
      </rPr>
      <t>Fri 7:30 - 11:30 ( 2, 3, 4, 5 )</t>
    </r>
  </si>
  <si>
    <r>
      <t xml:space="preserve">OR 10- </t>
    </r>
    <r>
      <rPr>
        <b/>
        <sz val="9"/>
        <color rgb="FF0070C0"/>
        <rFont val="Arial"/>
        <family val="2"/>
      </rPr>
      <t xml:space="preserve">ROBOT- </t>
    </r>
    <r>
      <rPr>
        <b/>
        <sz val="9"/>
        <color rgb="FFFF0000"/>
        <rFont val="Arial"/>
        <family val="2"/>
      </rPr>
      <t>Wed</t>
    </r>
    <r>
      <rPr>
        <sz val="9"/>
        <color rgb="FFFF0000"/>
        <rFont val="Arial"/>
        <family val="2"/>
      </rPr>
      <t xml:space="preserve"> </t>
    </r>
    <r>
      <rPr>
        <sz val="9"/>
        <rFont val="Arial"/>
        <family val="2"/>
      </rPr>
      <t>13:00 - 17:00 ( 1, 3 )</t>
    </r>
  </si>
  <si>
    <r>
      <rPr>
        <b/>
        <sz val="9"/>
        <rFont val="Arial"/>
        <family val="2"/>
      </rPr>
      <t>OR 5-</t>
    </r>
    <r>
      <rPr>
        <b/>
        <sz val="9"/>
        <color rgb="FF0070C0"/>
        <rFont val="Arial"/>
        <family val="2"/>
      </rPr>
      <t xml:space="preserve"> ROBOT- </t>
    </r>
    <r>
      <rPr>
        <b/>
        <sz val="9"/>
        <color rgb="FFFF0000"/>
        <rFont val="Arial"/>
        <family val="2"/>
      </rPr>
      <t>Thu</t>
    </r>
    <r>
      <rPr>
        <sz val="9"/>
        <rFont val="Arial"/>
        <family val="2"/>
      </rPr>
      <t xml:space="preserve"> 7:30 - 15:00 ( 1 )</t>
    </r>
  </si>
  <si>
    <r>
      <t xml:space="preserve">OR 9- </t>
    </r>
    <r>
      <rPr>
        <b/>
        <sz val="9"/>
        <color rgb="FF0070C0"/>
        <rFont val="Arial"/>
        <family val="2"/>
      </rPr>
      <t>ROBOT</t>
    </r>
    <r>
      <rPr>
        <sz val="9"/>
        <rFont val="Arial"/>
        <family val="2"/>
      </rPr>
      <t>-</t>
    </r>
    <r>
      <rPr>
        <b/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Fri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7:30 - 15:00 ( 1 )</t>
    </r>
  </si>
  <si>
    <r>
      <rPr>
        <b/>
        <sz val="9"/>
        <rFont val="Arial"/>
        <family val="2"/>
      </rPr>
      <t>OR 9-</t>
    </r>
    <r>
      <rPr>
        <sz val="9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color rgb="FFFF0000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 xml:space="preserve">Wed </t>
    </r>
    <r>
      <rPr>
        <sz val="9"/>
        <rFont val="Arial"/>
        <family val="2"/>
      </rPr>
      <t>7:30 - 15:00 ( 1 )</t>
    </r>
  </si>
  <si>
    <r>
      <rPr>
        <b/>
        <sz val="9"/>
        <rFont val="Arial"/>
        <family val="2"/>
      </rPr>
      <t>OR 9-</t>
    </r>
    <r>
      <rPr>
        <sz val="9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 xml:space="preserve">Wed </t>
    </r>
    <r>
      <rPr>
        <sz val="9"/>
        <rFont val="Arial"/>
        <family val="2"/>
      </rPr>
      <t>7:30 - 15:00 ( 2, 4 )</t>
    </r>
  </si>
  <si>
    <r>
      <t xml:space="preserve">OR 10- </t>
    </r>
    <r>
      <rPr>
        <b/>
        <sz val="9"/>
        <color rgb="FF0070C0"/>
        <rFont val="Arial"/>
        <family val="2"/>
      </rPr>
      <t xml:space="preserve">ROBOT- </t>
    </r>
    <r>
      <rPr>
        <b/>
        <sz val="9"/>
        <color rgb="FFFF0000"/>
        <rFont val="Arial"/>
        <family val="2"/>
      </rPr>
      <t>Fri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 xml:space="preserve">7:30 - 17:00 </t>
    </r>
  </si>
  <si>
    <r>
      <t xml:space="preserve">OR 10- </t>
    </r>
    <r>
      <rPr>
        <b/>
        <sz val="9"/>
        <color rgb="FF0070C0"/>
        <rFont val="Arial"/>
        <family val="2"/>
      </rPr>
      <t xml:space="preserve">ROBOT- </t>
    </r>
    <r>
      <rPr>
        <b/>
        <sz val="9"/>
        <color rgb="FFFF0000"/>
        <rFont val="Arial"/>
        <family val="2"/>
      </rPr>
      <t>Wed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7:30 - 11:30 ( 1, 3 )</t>
    </r>
  </si>
  <si>
    <r>
      <rPr>
        <b/>
        <sz val="9"/>
        <color theme="1"/>
        <rFont val="Arial"/>
        <family val="2"/>
      </rPr>
      <t>OR 10-</t>
    </r>
    <r>
      <rPr>
        <sz val="9"/>
        <color theme="1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</t>
    </r>
    <r>
      <rPr>
        <sz val="9"/>
        <color theme="1"/>
        <rFont val="Arial"/>
        <family val="2"/>
      </rPr>
      <t>-</t>
    </r>
    <r>
      <rPr>
        <b/>
        <sz val="9"/>
        <color rgb="FFFF0000"/>
        <rFont val="Arial"/>
        <family val="2"/>
      </rPr>
      <t xml:space="preserve"> Mon</t>
    </r>
    <r>
      <rPr>
        <sz val="9"/>
        <color theme="1"/>
        <rFont val="Arial"/>
        <family val="2"/>
      </rPr>
      <t xml:space="preserve"> 8:00 - 16:00</t>
    </r>
  </si>
  <si>
    <r>
      <rPr>
        <b/>
        <sz val="9"/>
        <color theme="1"/>
        <rFont val="Arial"/>
        <family val="2"/>
      </rPr>
      <t>OR 10-</t>
    </r>
    <r>
      <rPr>
        <sz val="9"/>
        <color theme="1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color theme="1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Tue</t>
    </r>
    <r>
      <rPr>
        <sz val="9"/>
        <color theme="1"/>
        <rFont val="Arial"/>
        <family val="2"/>
      </rPr>
      <t xml:space="preserve"> 7:30 - 17:00 ( 1, 3, 5 )</t>
    </r>
  </si>
  <si>
    <r>
      <rPr>
        <b/>
        <sz val="9"/>
        <rFont val="Arial"/>
        <family val="2"/>
      </rPr>
      <t xml:space="preserve">OR 10- </t>
    </r>
    <r>
      <rPr>
        <b/>
        <sz val="9"/>
        <color rgb="FF0070C0"/>
        <rFont val="Arial"/>
        <family val="2"/>
      </rPr>
      <t>ROBOT-</t>
    </r>
    <r>
      <rPr>
        <b/>
        <sz val="9"/>
        <color rgb="FFFF0000"/>
        <rFont val="Arial"/>
        <family val="2"/>
      </rPr>
      <t xml:space="preserve"> Thu</t>
    </r>
    <r>
      <rPr>
        <sz val="9"/>
        <rFont val="Arial"/>
        <family val="2"/>
      </rPr>
      <t xml:space="preserve"> 7:30 - 15:00</t>
    </r>
  </si>
  <si>
    <r>
      <rPr>
        <b/>
        <sz val="9"/>
        <rFont val="Arial"/>
        <family val="2"/>
      </rPr>
      <t>OR 3-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Tue</t>
    </r>
    <r>
      <rPr>
        <sz val="9"/>
        <rFont val="Arial"/>
        <family val="2"/>
      </rPr>
      <t xml:space="preserve"> 7:30 - 15:00</t>
    </r>
  </si>
  <si>
    <r>
      <rPr>
        <b/>
        <sz val="9"/>
        <rFont val="Arial"/>
        <family val="2"/>
      </rPr>
      <t>OR 1-</t>
    </r>
    <r>
      <rPr>
        <b/>
        <sz val="9"/>
        <color rgb="FFFF0000"/>
        <rFont val="Arial"/>
        <family val="2"/>
      </rPr>
      <t xml:space="preserve"> Wed </t>
    </r>
    <r>
      <rPr>
        <sz val="9"/>
        <rFont val="Arial"/>
        <family val="2"/>
      </rPr>
      <t xml:space="preserve">7:30 - 12:30 </t>
    </r>
  </si>
  <si>
    <r>
      <t xml:space="preserve">OR 10- </t>
    </r>
    <r>
      <rPr>
        <b/>
        <sz val="9"/>
        <color rgb="FF0070C0"/>
        <rFont val="Arial"/>
        <family val="2"/>
      </rPr>
      <t xml:space="preserve">ROBOT- </t>
    </r>
    <r>
      <rPr>
        <b/>
        <sz val="9"/>
        <color rgb="FFFF0000"/>
        <rFont val="Arial"/>
        <family val="2"/>
      </rPr>
      <t>Tue</t>
    </r>
    <r>
      <rPr>
        <sz val="9"/>
        <rFont val="Arial"/>
        <family val="2"/>
      </rPr>
      <t xml:space="preserve"> 7:30 - 15:00 ( 4 )</t>
    </r>
  </si>
  <si>
    <r>
      <t>OR 10-</t>
    </r>
    <r>
      <rPr>
        <sz val="9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Tue</t>
    </r>
    <r>
      <rPr>
        <sz val="9"/>
        <rFont val="Arial"/>
        <family val="2"/>
      </rPr>
      <t xml:space="preserve"> 7:30 - 15:00 ( 2 ) </t>
    </r>
  </si>
  <si>
    <r>
      <t>OR 10-</t>
    </r>
    <r>
      <rPr>
        <sz val="9"/>
        <rFont val="Arial"/>
        <family val="2"/>
      </rPr>
      <t xml:space="preserve"> </t>
    </r>
    <r>
      <rPr>
        <b/>
        <sz val="9"/>
        <color rgb="FF0070C0"/>
        <rFont val="Arial"/>
        <family val="2"/>
      </rPr>
      <t>ROBOT-</t>
    </r>
    <r>
      <rPr>
        <sz val="9"/>
        <rFont val="Arial"/>
        <family val="2"/>
      </rPr>
      <t xml:space="preserve"> </t>
    </r>
    <r>
      <rPr>
        <b/>
        <sz val="9"/>
        <color rgb="FFFF0000"/>
        <rFont val="Arial"/>
        <family val="2"/>
      </rPr>
      <t>Wed</t>
    </r>
    <r>
      <rPr>
        <sz val="9"/>
        <rFont val="Arial"/>
        <family val="2"/>
      </rPr>
      <t xml:space="preserve"> 7:30 - 15:00 ( 2, 4 )</t>
    </r>
  </si>
  <si>
    <t>Wed</t>
  </si>
  <si>
    <t xml:space="preserve">SD ROBOTICS BLOCK UTILIZATION </t>
  </si>
  <si>
    <t xml:space="preserve">ROBOTICS BLOCK UTILIZATION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</si>
</sst>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6"/>
      <color indexed="10"/>
      <name val="Arial"/>
      <family val="2"/>
    </font>
    <font>
      <b/>
      <i/>
      <sz val="10"/>
      <color indexed="10"/>
      <name val="Arial"/>
      <family val="2"/>
    </font>
    <font>
      <b/>
      <i/>
      <sz val="10"/>
      <color indexed="12"/>
      <name val="Arial"/>
      <family val="2"/>
    </font>
    <font>
      <b/>
      <sz val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0"/>
      <color theme="4" tint="-0.249977111117893"/>
      <name val="Kartika"/>
      <family val="1"/>
    </font>
    <font>
      <b/>
      <sz val="9"/>
      <color rgb="FF0070C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wrapText="1"/>
    </xf>
    <xf numFmtId="0" fontId="4" fillId="0" borderId="2" xfId="0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 wrapText="1"/>
    </xf>
    <xf numFmtId="17" fontId="4" fillId="2" borderId="4" xfId="0" applyNumberFormat="1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1" fontId="4" fillId="4" borderId="4" xfId="0" applyNumberFormat="1" applyFont="1" applyFill="1" applyBorder="1" applyAlignment="1">
      <alignment horizontal="center" vertical="center" wrapText="1"/>
    </xf>
    <xf numFmtId="17" fontId="5" fillId="0" borderId="5" xfId="0" applyNumberFormat="1" applyFont="1" applyBorder="1" applyAlignment="1">
      <alignment horizontal="left" vertical="top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1" fontId="4" fillId="0" borderId="7" xfId="1" applyNumberFormat="1" applyFont="1" applyFill="1" applyBorder="1" applyAlignment="1">
      <alignment horizontal="center" vertical="center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top" wrapText="1"/>
    </xf>
    <xf numFmtId="1" fontId="4" fillId="0" borderId="6" xfId="1" applyNumberFormat="1" applyFont="1" applyFill="1" applyBorder="1" applyAlignment="1">
      <alignment horizontal="center" vertical="center" wrapText="1"/>
    </xf>
    <xf numFmtId="1" fontId="4" fillId="5" borderId="8" xfId="0" applyNumberFormat="1" applyFont="1" applyFill="1" applyBorder="1" applyAlignment="1">
      <alignment horizontal="center" vertical="center" wrapText="1"/>
    </xf>
    <xf numFmtId="16" fontId="3" fillId="0" borderId="8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" fontId="4" fillId="7" borderId="8" xfId="0" applyNumberFormat="1" applyFont="1" applyFill="1" applyBorder="1" applyAlignment="1">
      <alignment horizontal="center" vertical="center" wrapText="1"/>
    </xf>
    <xf numFmtId="1" fontId="4" fillId="6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" fontId="4" fillId="0" borderId="8" xfId="1" applyNumberFormat="1" applyFont="1" applyFill="1" applyBorder="1" applyAlignment="1">
      <alignment horizontal="center" vertical="center" wrapText="1"/>
    </xf>
    <xf numFmtId="1" fontId="4" fillId="8" borderId="7" xfId="1" applyNumberFormat="1" applyFont="1" applyFill="1" applyBorder="1" applyAlignment="1">
      <alignment horizontal="center" vertical="center" wrapText="1"/>
    </xf>
    <xf numFmtId="1" fontId="4" fillId="8" borderId="8" xfId="0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top" wrapText="1"/>
    </xf>
    <xf numFmtId="1" fontId="4" fillId="8" borderId="6" xfId="1" applyNumberFormat="1" applyFont="1" applyFill="1" applyBorder="1" applyAlignment="1">
      <alignment horizontal="center" vertical="center" wrapText="1"/>
    </xf>
    <xf numFmtId="1" fontId="4" fillId="9" borderId="6" xfId="1" applyNumberFormat="1" applyFont="1" applyFill="1" applyBorder="1" applyAlignment="1">
      <alignment horizontal="center" vertical="center" wrapText="1"/>
    </xf>
    <xf numFmtId="1" fontId="7" fillId="5" borderId="6" xfId="0" applyNumberFormat="1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" fontId="4" fillId="8" borderId="8" xfId="1" applyNumberFormat="1" applyFont="1" applyFill="1" applyBorder="1" applyAlignment="1">
      <alignment horizontal="center" vertical="center" wrapText="1"/>
    </xf>
    <xf numFmtId="2" fontId="11" fillId="10" borderId="6" xfId="0" applyNumberFormat="1" applyFont="1" applyFill="1" applyBorder="1" applyAlignment="1">
      <alignment horizontal="center" vertical="center" wrapText="1"/>
    </xf>
    <xf numFmtId="2" fontId="11" fillId="10" borderId="6" xfId="0" applyNumberFormat="1" applyFont="1" applyFill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12" fillId="0" borderId="0" xfId="0" applyFont="1" applyAlignment="1">
      <alignment wrapText="1"/>
    </xf>
    <xf numFmtId="2" fontId="13" fillId="0" borderId="0" xfId="0" applyNumberFormat="1" applyFont="1" applyAlignment="1">
      <alignment horizontal="center" wrapText="1"/>
    </xf>
    <xf numFmtId="1" fontId="16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left" vertical="top" wrapText="1"/>
    </xf>
    <xf numFmtId="1" fontId="4" fillId="11" borderId="8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7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vertical="top" wrapText="1"/>
    </xf>
    <xf numFmtId="0" fontId="20" fillId="0" borderId="8" xfId="0" applyFont="1" applyBorder="1" applyAlignment="1">
      <alignment vertical="top" wrapText="1"/>
    </xf>
    <xf numFmtId="0" fontId="22" fillId="0" borderId="8" xfId="0" applyFont="1" applyBorder="1" applyAlignment="1">
      <alignment horizontal="left" vertical="top" wrapText="1"/>
    </xf>
    <xf numFmtId="20" fontId="20" fillId="0" borderId="8" xfId="0" applyNumberFormat="1" applyFont="1" applyBorder="1" applyAlignment="1">
      <alignment vertical="top" wrapText="1"/>
    </xf>
    <xf numFmtId="1" fontId="12" fillId="8" borderId="6" xfId="1" applyNumberFormat="1" applyFont="1" applyFill="1" applyBorder="1" applyAlignment="1">
      <alignment horizontal="center" vertical="center" wrapText="1"/>
    </xf>
    <xf numFmtId="1" fontId="12" fillId="8" borderId="7" xfId="1" applyNumberFormat="1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1" fontId="12" fillId="8" borderId="8" xfId="1" applyNumberFormat="1" applyFont="1" applyFill="1" applyBorder="1" applyAlignment="1">
      <alignment horizontal="center" vertical="center" wrapText="1"/>
    </xf>
    <xf numFmtId="1" fontId="4" fillId="12" borderId="8" xfId="0" applyNumberFormat="1" applyFont="1" applyFill="1" applyBorder="1" applyAlignment="1">
      <alignment horizontal="center" vertical="center" wrapText="1"/>
    </xf>
    <xf numFmtId="1" fontId="4" fillId="12" borderId="6" xfId="0" applyNumberFormat="1" applyFont="1" applyFill="1" applyBorder="1" applyAlignment="1">
      <alignment horizontal="center" vertical="center" wrapText="1"/>
    </xf>
    <xf numFmtId="1" fontId="4" fillId="13" borderId="8" xfId="0" applyNumberFormat="1" applyFont="1" applyFill="1" applyBorder="1" applyAlignment="1">
      <alignment horizontal="center" vertical="center" wrapText="1"/>
    </xf>
    <xf numFmtId="1" fontId="4" fillId="13" borderId="6" xfId="0" applyNumberFormat="1" applyFont="1" applyFill="1" applyBorder="1" applyAlignment="1">
      <alignment horizontal="center" vertical="center" wrapText="1"/>
    </xf>
    <xf numFmtId="1" fontId="7" fillId="13" borderId="6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1" fontId="10" fillId="10" borderId="10" xfId="0" applyNumberFormat="1" applyFont="1" applyFill="1" applyBorder="1" applyAlignment="1">
      <alignment horizontal="left" vertical="top" wrapText="1"/>
    </xf>
    <xf numFmtId="0" fontId="0" fillId="10" borderId="11" xfId="0" applyFill="1" applyBorder="1" applyAlignment="1">
      <alignment vertical="top" wrapText="1"/>
    </xf>
    <xf numFmtId="1" fontId="14" fillId="0" borderId="6" xfId="0" applyNumberFormat="1" applyFont="1" applyBorder="1" applyAlignment="1">
      <alignment horizontal="left" vertical="center" wrapText="1"/>
    </xf>
    <xf numFmtId="1" fontId="15" fillId="0" borderId="6" xfId="0" applyNumberFormat="1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1" fontId="10" fillId="0" borderId="13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6FF99"/>
      <color rgb="FFFF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9F92-9787-47A0-81FA-CFCFFC91F4A3}">
  <dimension ref="A1:R27"/>
  <sheetViews>
    <sheetView tabSelected="1" zoomScale="115" zoomScaleNormal="115" workbookViewId="0">
      <pane ySplit="2" topLeftCell="A3" activePane="bottomLeft" state="frozen"/>
      <selection pane="bottomLeft" activeCell="N12" sqref="N12"/>
    </sheetView>
  </sheetViews>
  <sheetFormatPr defaultColWidth="8.88671875" defaultRowHeight="13.8" x14ac:dyDescent="0.3"/>
  <cols>
    <col min="1" max="1" width="22.6640625" style="56" customWidth="1"/>
    <col min="2" max="2" width="56.109375" style="46" customWidth="1"/>
    <col min="3" max="3" width="8.6640625" style="43" hidden="1" customWidth="1"/>
    <col min="4" max="5" width="9.6640625" style="43" hidden="1" customWidth="1"/>
    <col min="6" max="11" width="9.6640625" style="43" customWidth="1"/>
    <col min="12" max="13" width="8.88671875" style="40" customWidth="1"/>
    <col min="14" max="14" width="21.88671875" style="42" customWidth="1"/>
    <col min="15" max="15" width="6.109375" style="1" hidden="1" customWidth="1"/>
    <col min="16" max="16" width="7.109375" style="1" hidden="1" customWidth="1"/>
    <col min="17" max="17" width="6.88671875" style="1" hidden="1" customWidth="1"/>
    <col min="18" max="18" width="7.33203125" style="1" hidden="1" customWidth="1"/>
    <col min="19" max="16384" width="8.88671875" style="1"/>
  </cols>
  <sheetData>
    <row r="1" spans="1:18" ht="21.6" thickBot="1" x14ac:dyDescent="0.45">
      <c r="A1" s="64" t="s">
        <v>57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8" ht="23.25" customHeight="1" thickBot="1" x14ac:dyDescent="0.35">
      <c r="A2" s="2" t="s">
        <v>0</v>
      </c>
      <c r="B2" s="3" t="s">
        <v>1</v>
      </c>
      <c r="C2" s="4">
        <v>45497</v>
      </c>
      <c r="D2" s="4">
        <v>45528</v>
      </c>
      <c r="E2" s="4">
        <v>45559</v>
      </c>
      <c r="F2" s="4">
        <v>45566</v>
      </c>
      <c r="G2" s="4">
        <v>45597</v>
      </c>
      <c r="H2" s="4">
        <v>45627</v>
      </c>
      <c r="I2" s="4">
        <v>45682</v>
      </c>
      <c r="J2" s="4">
        <v>45689</v>
      </c>
      <c r="K2" s="4">
        <v>45741</v>
      </c>
      <c r="L2" s="5" t="s">
        <v>2</v>
      </c>
      <c r="M2" s="6" t="s">
        <v>3</v>
      </c>
      <c r="N2" s="7" t="s">
        <v>4</v>
      </c>
      <c r="O2" s="8" t="s">
        <v>5</v>
      </c>
      <c r="P2" s="9" t="s">
        <v>6</v>
      </c>
      <c r="Q2" s="9" t="s">
        <v>5</v>
      </c>
      <c r="R2" s="10" t="s">
        <v>6</v>
      </c>
    </row>
    <row r="3" spans="1:18" ht="24" customHeight="1" x14ac:dyDescent="0.3">
      <c r="A3" s="63">
        <v>1</v>
      </c>
      <c r="B3" s="49" t="s">
        <v>33</v>
      </c>
      <c r="C3" s="14">
        <v>59</v>
      </c>
      <c r="D3" s="14">
        <v>57</v>
      </c>
      <c r="E3" s="14">
        <v>28</v>
      </c>
      <c r="F3" s="14">
        <v>67</v>
      </c>
      <c r="G3" s="14">
        <v>13</v>
      </c>
      <c r="H3" s="14">
        <v>94</v>
      </c>
      <c r="I3" s="14">
        <v>15</v>
      </c>
      <c r="J3" s="14">
        <v>36</v>
      </c>
      <c r="K3" s="14">
        <v>52</v>
      </c>
      <c r="L3" s="15">
        <f>AVERAGE(F3:K3)</f>
        <v>46.166666666666664</v>
      </c>
      <c r="M3" s="15">
        <f>AVERAGE(I3:K3)</f>
        <v>34.333333333333336</v>
      </c>
      <c r="N3" s="21"/>
      <c r="O3" s="17" t="s">
        <v>10</v>
      </c>
      <c r="P3" s="17">
        <v>90</v>
      </c>
      <c r="Q3" s="17" t="s">
        <v>11</v>
      </c>
      <c r="R3" s="17">
        <v>50</v>
      </c>
    </row>
    <row r="4" spans="1:18" ht="24" customHeight="1" x14ac:dyDescent="0.3">
      <c r="A4" s="63">
        <v>2</v>
      </c>
      <c r="B4" s="49" t="s">
        <v>34</v>
      </c>
      <c r="C4" s="14">
        <v>80</v>
      </c>
      <c r="D4" s="14">
        <v>94</v>
      </c>
      <c r="E4" s="14">
        <v>48</v>
      </c>
      <c r="F4" s="14">
        <v>85</v>
      </c>
      <c r="G4" s="14">
        <v>61</v>
      </c>
      <c r="H4" s="14">
        <v>79</v>
      </c>
      <c r="I4" s="14">
        <v>40</v>
      </c>
      <c r="J4" s="14">
        <v>58</v>
      </c>
      <c r="K4" s="14">
        <v>73</v>
      </c>
      <c r="L4" s="58">
        <f>AVERAGE(F4:K4)</f>
        <v>66</v>
      </c>
      <c r="M4" s="15">
        <f>AVERAGE(I4:K4)</f>
        <v>57</v>
      </c>
      <c r="N4" s="21"/>
      <c r="O4" s="17"/>
      <c r="P4" s="17"/>
      <c r="Q4" s="17"/>
      <c r="R4" s="17"/>
    </row>
    <row r="5" spans="1:18" ht="24" customHeight="1" x14ac:dyDescent="0.3">
      <c r="A5" s="63">
        <v>3</v>
      </c>
      <c r="B5" s="49" t="s">
        <v>35</v>
      </c>
      <c r="C5" s="26"/>
      <c r="D5" s="26"/>
      <c r="E5" s="14">
        <v>64</v>
      </c>
      <c r="F5" s="14">
        <v>76</v>
      </c>
      <c r="G5" s="14">
        <v>88</v>
      </c>
      <c r="H5" s="14">
        <v>68</v>
      </c>
      <c r="I5" s="14">
        <v>97</v>
      </c>
      <c r="J5" s="14">
        <v>55</v>
      </c>
      <c r="K5" s="14">
        <v>64</v>
      </c>
      <c r="L5" s="61">
        <f t="shared" ref="L5" si="0">AVERAGE(F5:K5)</f>
        <v>74.666666666666671</v>
      </c>
      <c r="M5" s="18">
        <f t="shared" ref="M5" si="1">AVERAGE(I5:K5)</f>
        <v>72</v>
      </c>
      <c r="N5" s="21"/>
      <c r="O5" s="17"/>
      <c r="P5" s="17"/>
      <c r="Q5" s="17"/>
      <c r="R5" s="17"/>
    </row>
    <row r="6" spans="1:18" ht="24" customHeight="1" x14ac:dyDescent="0.3">
      <c r="A6" s="63">
        <v>4</v>
      </c>
      <c r="B6" s="50" t="s">
        <v>36</v>
      </c>
      <c r="C6" s="26"/>
      <c r="D6" s="26"/>
      <c r="E6" s="14">
        <v>46</v>
      </c>
      <c r="F6" s="14">
        <v>46</v>
      </c>
      <c r="G6" s="14">
        <v>49</v>
      </c>
      <c r="H6" s="14">
        <v>52</v>
      </c>
      <c r="I6" s="14">
        <v>54</v>
      </c>
      <c r="J6" s="14">
        <v>56</v>
      </c>
      <c r="K6" s="14">
        <v>58</v>
      </c>
      <c r="L6" s="12">
        <f>AVERAGE(F6:K6)</f>
        <v>52.5</v>
      </c>
      <c r="M6" s="15">
        <f>AVERAGE(I6:K6)</f>
        <v>56</v>
      </c>
      <c r="N6" s="21"/>
      <c r="O6" s="17"/>
      <c r="P6" s="17"/>
      <c r="Q6" s="17"/>
      <c r="R6" s="17"/>
    </row>
    <row r="7" spans="1:18" ht="24" customHeight="1" x14ac:dyDescent="0.3">
      <c r="A7" s="63">
        <v>5</v>
      </c>
      <c r="B7" s="50" t="s">
        <v>37</v>
      </c>
      <c r="C7" s="26"/>
      <c r="D7" s="26"/>
      <c r="E7" s="14">
        <v>60</v>
      </c>
      <c r="F7" s="14">
        <v>59</v>
      </c>
      <c r="G7" s="14">
        <v>75</v>
      </c>
      <c r="H7" s="14">
        <v>76</v>
      </c>
      <c r="I7" s="14">
        <v>49</v>
      </c>
      <c r="J7" s="14">
        <v>36</v>
      </c>
      <c r="K7" s="14">
        <v>72</v>
      </c>
      <c r="L7" s="12">
        <f>AVERAGE(F7:K7)</f>
        <v>61.166666666666664</v>
      </c>
      <c r="M7" s="15">
        <f>AVERAGE(I7:K7)</f>
        <v>52.333333333333336</v>
      </c>
      <c r="N7" s="21"/>
      <c r="O7" s="17"/>
      <c r="P7" s="17"/>
      <c r="Q7" s="17"/>
      <c r="R7" s="17"/>
    </row>
    <row r="8" spans="1:18" ht="24" customHeight="1" x14ac:dyDescent="0.3">
      <c r="A8" s="63">
        <v>6</v>
      </c>
      <c r="B8" s="50" t="s">
        <v>38</v>
      </c>
      <c r="C8" s="27">
        <v>55</v>
      </c>
      <c r="D8" s="27">
        <v>51</v>
      </c>
      <c r="E8" s="14">
        <v>32</v>
      </c>
      <c r="F8" s="14">
        <v>36</v>
      </c>
      <c r="G8" s="14">
        <v>31</v>
      </c>
      <c r="H8" s="14">
        <v>39</v>
      </c>
      <c r="I8" s="14">
        <v>0</v>
      </c>
      <c r="J8" s="14">
        <v>46</v>
      </c>
      <c r="K8" s="14">
        <v>49</v>
      </c>
      <c r="L8" s="28">
        <f>AVERAGE(F8:K8)</f>
        <v>33.5</v>
      </c>
      <c r="M8" s="15">
        <f>AVERAGE(I8:K8)</f>
        <v>31.666666666666668</v>
      </c>
      <c r="N8" s="21"/>
      <c r="O8" s="16">
        <v>45274</v>
      </c>
      <c r="P8" s="17">
        <v>100</v>
      </c>
      <c r="Q8" s="16">
        <v>44937</v>
      </c>
      <c r="R8" s="17">
        <v>50</v>
      </c>
    </row>
    <row r="9" spans="1:18" ht="24" hidden="1" customHeight="1" x14ac:dyDescent="0.3">
      <c r="A9" s="63" t="s">
        <v>12</v>
      </c>
      <c r="B9" s="50" t="s">
        <v>13</v>
      </c>
      <c r="C9" s="27"/>
      <c r="D9" s="27"/>
      <c r="E9" s="14">
        <v>4</v>
      </c>
      <c r="F9" s="14">
        <v>0</v>
      </c>
      <c r="G9" s="53"/>
      <c r="H9" s="53"/>
      <c r="I9" s="26"/>
      <c r="J9" s="53"/>
      <c r="K9" s="26"/>
      <c r="L9" s="28"/>
      <c r="M9" s="15"/>
      <c r="N9" s="21"/>
      <c r="O9" s="16"/>
      <c r="P9" s="17"/>
      <c r="Q9" s="16"/>
      <c r="R9" s="17"/>
    </row>
    <row r="10" spans="1:18" ht="24" hidden="1" customHeight="1" x14ac:dyDescent="0.3">
      <c r="A10" s="63" t="s">
        <v>12</v>
      </c>
      <c r="B10" s="49" t="s">
        <v>39</v>
      </c>
      <c r="C10" s="14">
        <v>33</v>
      </c>
      <c r="D10" s="14">
        <v>14</v>
      </c>
      <c r="E10" s="14">
        <v>0</v>
      </c>
      <c r="F10" s="14">
        <v>43</v>
      </c>
      <c r="G10" s="53"/>
      <c r="H10" s="53"/>
      <c r="I10" s="26"/>
      <c r="J10" s="53"/>
      <c r="K10" s="26"/>
      <c r="L10" s="29"/>
      <c r="M10" s="30"/>
      <c r="N10" s="21"/>
      <c r="O10" s="17" t="s">
        <v>14</v>
      </c>
      <c r="P10" s="17">
        <v>0</v>
      </c>
      <c r="Q10" s="16">
        <v>44945</v>
      </c>
      <c r="R10" s="17">
        <v>0</v>
      </c>
    </row>
    <row r="11" spans="1:18" ht="24" customHeight="1" x14ac:dyDescent="0.3">
      <c r="A11" s="63">
        <v>7</v>
      </c>
      <c r="B11" s="49" t="s">
        <v>40</v>
      </c>
      <c r="C11" s="14">
        <v>30</v>
      </c>
      <c r="D11" s="14">
        <v>19</v>
      </c>
      <c r="E11" s="14">
        <v>66</v>
      </c>
      <c r="F11" s="14">
        <v>0</v>
      </c>
      <c r="G11" s="14">
        <v>59</v>
      </c>
      <c r="H11" s="14">
        <v>94</v>
      </c>
      <c r="I11" s="14">
        <v>36</v>
      </c>
      <c r="J11" s="14">
        <v>92</v>
      </c>
      <c r="K11" s="14">
        <v>74</v>
      </c>
      <c r="L11" s="12">
        <f t="shared" ref="L11:L20" si="2">AVERAGE(F11:K11)</f>
        <v>59.166666666666664</v>
      </c>
      <c r="M11" s="18">
        <f t="shared" ref="M11:M20" si="3">AVERAGE(I11:K11)</f>
        <v>67.333333333333329</v>
      </c>
      <c r="N11" s="21"/>
      <c r="O11" s="17" t="s">
        <v>15</v>
      </c>
      <c r="P11" s="17">
        <v>100</v>
      </c>
      <c r="Q11" s="17" t="s">
        <v>16</v>
      </c>
      <c r="R11" s="17">
        <v>50</v>
      </c>
    </row>
    <row r="12" spans="1:18" ht="24" customHeight="1" x14ac:dyDescent="0.3">
      <c r="A12" s="63">
        <v>8</v>
      </c>
      <c r="B12" s="55" t="s">
        <v>55</v>
      </c>
      <c r="C12" s="11"/>
      <c r="D12" s="11"/>
      <c r="E12" s="11"/>
      <c r="F12" s="23"/>
      <c r="G12" s="11">
        <v>100</v>
      </c>
      <c r="H12" s="11">
        <v>93</v>
      </c>
      <c r="I12" s="11">
        <v>63</v>
      </c>
      <c r="J12" s="11">
        <v>79</v>
      </c>
      <c r="K12" s="11">
        <v>80</v>
      </c>
      <c r="L12" s="61">
        <f t="shared" si="2"/>
        <v>83</v>
      </c>
      <c r="M12" s="18">
        <f t="shared" si="3"/>
        <v>74</v>
      </c>
      <c r="N12" s="21"/>
      <c r="O12" s="17"/>
      <c r="P12" s="17"/>
      <c r="Q12" s="17"/>
      <c r="R12" s="17"/>
    </row>
    <row r="13" spans="1:18" ht="24" customHeight="1" x14ac:dyDescent="0.3">
      <c r="A13" s="63">
        <v>9</v>
      </c>
      <c r="B13" s="50" t="s">
        <v>41</v>
      </c>
      <c r="C13" s="23"/>
      <c r="D13" s="23"/>
      <c r="E13" s="11"/>
      <c r="F13" s="11">
        <v>82</v>
      </c>
      <c r="G13" s="11">
        <v>100</v>
      </c>
      <c r="H13" s="11">
        <v>100</v>
      </c>
      <c r="I13" s="11">
        <v>87</v>
      </c>
      <c r="J13" s="11">
        <v>78</v>
      </c>
      <c r="K13" s="11">
        <v>70</v>
      </c>
      <c r="L13" s="61">
        <f t="shared" si="2"/>
        <v>86.166666666666671</v>
      </c>
      <c r="M13" s="60">
        <f t="shared" si="3"/>
        <v>78.333333333333329</v>
      </c>
      <c r="N13" s="25"/>
      <c r="O13" s="16"/>
      <c r="P13" s="17"/>
      <c r="Q13" s="16"/>
      <c r="R13" s="17"/>
    </row>
    <row r="14" spans="1:18" ht="24" customHeight="1" x14ac:dyDescent="0.3">
      <c r="A14" s="63">
        <v>10</v>
      </c>
      <c r="B14" s="49" t="s">
        <v>42</v>
      </c>
      <c r="C14" s="11">
        <v>69</v>
      </c>
      <c r="D14" s="11">
        <v>75</v>
      </c>
      <c r="E14" s="11">
        <v>92</v>
      </c>
      <c r="F14" s="11">
        <v>81</v>
      </c>
      <c r="G14" s="11">
        <v>81</v>
      </c>
      <c r="H14" s="11">
        <v>88</v>
      </c>
      <c r="I14" s="11">
        <v>65</v>
      </c>
      <c r="J14" s="11">
        <v>76</v>
      </c>
      <c r="K14" s="11">
        <v>50</v>
      </c>
      <c r="L14" s="59">
        <f t="shared" si="2"/>
        <v>73.5</v>
      </c>
      <c r="M14" s="15">
        <f t="shared" si="3"/>
        <v>63.666666666666664</v>
      </c>
      <c r="N14" s="25"/>
      <c r="O14" s="17" t="s">
        <v>7</v>
      </c>
      <c r="P14" s="17" t="s">
        <v>17</v>
      </c>
      <c r="Q14" s="17" t="s">
        <v>18</v>
      </c>
      <c r="R14" s="17">
        <v>0</v>
      </c>
    </row>
    <row r="15" spans="1:18" ht="24" customHeight="1" x14ac:dyDescent="0.3">
      <c r="A15" s="63">
        <v>11</v>
      </c>
      <c r="B15" s="50" t="s">
        <v>43</v>
      </c>
      <c r="C15" s="11"/>
      <c r="D15" s="11"/>
      <c r="E15" s="11">
        <v>81</v>
      </c>
      <c r="F15" s="23"/>
      <c r="G15" s="11">
        <v>100</v>
      </c>
      <c r="H15" s="11">
        <v>99</v>
      </c>
      <c r="I15" s="11">
        <v>56</v>
      </c>
      <c r="J15" s="22">
        <v>65</v>
      </c>
      <c r="K15" s="22">
        <v>88</v>
      </c>
      <c r="L15" s="60">
        <f t="shared" si="2"/>
        <v>81.599999999999994</v>
      </c>
      <c r="M15" s="18">
        <f t="shared" si="3"/>
        <v>69.666666666666671</v>
      </c>
      <c r="N15" s="25"/>
      <c r="O15" s="17"/>
      <c r="P15" s="17"/>
      <c r="Q15" s="17"/>
      <c r="R15" s="17"/>
    </row>
    <row r="16" spans="1:18" ht="24" customHeight="1" x14ac:dyDescent="0.3">
      <c r="A16" s="63">
        <v>12</v>
      </c>
      <c r="B16" s="49" t="s">
        <v>45</v>
      </c>
      <c r="C16" s="11">
        <v>70</v>
      </c>
      <c r="D16" s="11">
        <v>76</v>
      </c>
      <c r="E16" s="11">
        <v>25</v>
      </c>
      <c r="F16" s="11">
        <v>55</v>
      </c>
      <c r="G16" s="11">
        <v>80</v>
      </c>
      <c r="H16" s="11">
        <v>91</v>
      </c>
      <c r="I16" s="11">
        <v>51</v>
      </c>
      <c r="J16" s="22">
        <v>83</v>
      </c>
      <c r="K16" s="22">
        <v>62</v>
      </c>
      <c r="L16" s="15">
        <f t="shared" si="2"/>
        <v>70.333333333333329</v>
      </c>
      <c r="M16" s="60">
        <f t="shared" si="3"/>
        <v>65.333333333333329</v>
      </c>
      <c r="N16" s="21"/>
      <c r="O16" s="17" t="s">
        <v>19</v>
      </c>
      <c r="P16" s="17">
        <v>100</v>
      </c>
      <c r="Q16" s="17" t="s">
        <v>20</v>
      </c>
      <c r="R16" s="17">
        <v>60</v>
      </c>
    </row>
    <row r="17" spans="1:18" ht="24" customHeight="1" x14ac:dyDescent="0.3">
      <c r="A17" s="63">
        <v>13</v>
      </c>
      <c r="B17" s="49" t="s">
        <v>46</v>
      </c>
      <c r="C17" s="11">
        <v>100</v>
      </c>
      <c r="D17" s="11">
        <v>81</v>
      </c>
      <c r="E17" s="11">
        <v>94</v>
      </c>
      <c r="F17" s="11">
        <v>96</v>
      </c>
      <c r="G17" s="11">
        <v>84</v>
      </c>
      <c r="H17" s="11">
        <v>65</v>
      </c>
      <c r="I17" s="11">
        <v>100</v>
      </c>
      <c r="J17" s="11">
        <v>77</v>
      </c>
      <c r="K17" s="11">
        <v>94</v>
      </c>
      <c r="L17" s="61">
        <f t="shared" si="2"/>
        <v>86</v>
      </c>
      <c r="M17" s="60">
        <f t="shared" si="3"/>
        <v>90.333333333333329</v>
      </c>
      <c r="N17" s="21"/>
      <c r="O17" s="31" t="s">
        <v>8</v>
      </c>
      <c r="P17" s="17">
        <v>25</v>
      </c>
      <c r="Q17" s="17" t="s">
        <v>9</v>
      </c>
      <c r="R17" s="17">
        <v>0</v>
      </c>
    </row>
    <row r="18" spans="1:18" ht="24" customHeight="1" x14ac:dyDescent="0.3">
      <c r="A18" s="20">
        <v>14</v>
      </c>
      <c r="B18" s="51" t="s">
        <v>47</v>
      </c>
      <c r="C18" s="11"/>
      <c r="D18" s="11"/>
      <c r="E18" s="11">
        <v>99</v>
      </c>
      <c r="F18" s="11">
        <v>96</v>
      </c>
      <c r="G18" s="11">
        <v>81</v>
      </c>
      <c r="H18" s="11">
        <v>91</v>
      </c>
      <c r="I18" s="11">
        <v>92</v>
      </c>
      <c r="J18" s="11">
        <v>85</v>
      </c>
      <c r="K18" s="11">
        <v>93</v>
      </c>
      <c r="L18" s="62">
        <f t="shared" si="2"/>
        <v>89.666666666666671</v>
      </c>
      <c r="M18" s="60">
        <f t="shared" si="3"/>
        <v>90</v>
      </c>
      <c r="N18" s="21"/>
      <c r="O18" s="16"/>
      <c r="P18" s="17"/>
      <c r="Q18" s="17"/>
      <c r="R18" s="17"/>
    </row>
    <row r="19" spans="1:18" ht="24" customHeight="1" x14ac:dyDescent="0.3">
      <c r="A19" s="20">
        <v>15</v>
      </c>
      <c r="B19" s="51" t="s">
        <v>48</v>
      </c>
      <c r="C19" s="11"/>
      <c r="D19" s="11"/>
      <c r="E19" s="11">
        <v>80</v>
      </c>
      <c r="F19" s="11">
        <v>77</v>
      </c>
      <c r="G19" s="11">
        <v>88</v>
      </c>
      <c r="H19" s="11">
        <v>53</v>
      </c>
      <c r="I19" s="11">
        <v>88</v>
      </c>
      <c r="J19" s="11">
        <v>81</v>
      </c>
      <c r="K19" s="11">
        <v>83</v>
      </c>
      <c r="L19" s="62">
        <f t="shared" si="2"/>
        <v>78.333333333333329</v>
      </c>
      <c r="M19" s="60">
        <f t="shared" si="3"/>
        <v>84</v>
      </c>
      <c r="N19" s="21"/>
      <c r="O19" s="16"/>
      <c r="P19" s="17"/>
      <c r="Q19" s="17"/>
      <c r="R19" s="17"/>
    </row>
    <row r="20" spans="1:18" ht="14.4" thickBot="1" x14ac:dyDescent="0.35">
      <c r="A20" s="63">
        <v>16</v>
      </c>
      <c r="B20" s="50" t="s">
        <v>49</v>
      </c>
      <c r="C20" s="11">
        <v>92</v>
      </c>
      <c r="D20" s="11">
        <v>92</v>
      </c>
      <c r="E20" s="11">
        <v>97</v>
      </c>
      <c r="F20" s="11">
        <v>85</v>
      </c>
      <c r="G20" s="11">
        <v>87</v>
      </c>
      <c r="H20" s="11">
        <v>79</v>
      </c>
      <c r="I20" s="11">
        <v>84</v>
      </c>
      <c r="J20" s="11">
        <v>99</v>
      </c>
      <c r="K20" s="11">
        <v>91</v>
      </c>
      <c r="L20" s="60">
        <f t="shared" si="2"/>
        <v>87.5</v>
      </c>
      <c r="M20" s="60">
        <f t="shared" si="3"/>
        <v>91.333333333333329</v>
      </c>
      <c r="N20" s="21"/>
      <c r="O20" s="16">
        <v>45266</v>
      </c>
      <c r="P20" s="17">
        <v>100</v>
      </c>
      <c r="Q20" s="16">
        <v>44929</v>
      </c>
      <c r="R20" s="17">
        <v>0</v>
      </c>
    </row>
    <row r="21" spans="1:18" ht="17.25" customHeight="1" thickTop="1" thickBot="1" x14ac:dyDescent="0.65">
      <c r="A21" s="65" t="s">
        <v>25</v>
      </c>
      <c r="B21" s="66"/>
      <c r="C21" s="33">
        <f>SUM(C3:C20)/36</f>
        <v>16.333333333333332</v>
      </c>
      <c r="D21" s="33">
        <f>SUM(D3:D20)/36</f>
        <v>15.527777777777779</v>
      </c>
      <c r="E21" s="34">
        <f t="shared" ref="E21:M21" si="4">AVERAGE(E3:E20)</f>
        <v>57.25</v>
      </c>
      <c r="F21" s="33">
        <f t="shared" si="4"/>
        <v>61.5</v>
      </c>
      <c r="G21" s="33">
        <f t="shared" si="4"/>
        <v>73.5625</v>
      </c>
      <c r="H21" s="33">
        <f t="shared" si="4"/>
        <v>78.8125</v>
      </c>
      <c r="I21" s="33">
        <f t="shared" si="4"/>
        <v>61.0625</v>
      </c>
      <c r="J21" s="33">
        <f t="shared" si="4"/>
        <v>68.875</v>
      </c>
      <c r="K21" s="33">
        <f t="shared" si="4"/>
        <v>72.0625</v>
      </c>
      <c r="L21" s="35">
        <f t="shared" si="4"/>
        <v>70.579166666666666</v>
      </c>
      <c r="M21" s="35">
        <f t="shared" si="4"/>
        <v>67.333333333333329</v>
      </c>
      <c r="N21" s="36"/>
      <c r="O21" s="37"/>
      <c r="P21" s="37"/>
      <c r="Q21" s="38"/>
      <c r="R21" s="38"/>
    </row>
    <row r="22" spans="1:18" x14ac:dyDescent="0.3">
      <c r="A22" s="67" t="s">
        <v>26</v>
      </c>
      <c r="B22" s="68"/>
      <c r="C22" s="39"/>
      <c r="D22" s="39"/>
      <c r="E22" s="39"/>
      <c r="F22" s="39"/>
      <c r="G22" s="39"/>
      <c r="H22" s="39"/>
      <c r="I22" s="39"/>
      <c r="J22" s="39"/>
      <c r="K22" s="39"/>
      <c r="L22" s="40" t="s">
        <v>27</v>
      </c>
      <c r="M22" s="41" t="s">
        <v>27</v>
      </c>
    </row>
    <row r="23" spans="1:18" ht="14.25" customHeight="1" x14ac:dyDescent="0.3">
      <c r="A23" s="69" t="s">
        <v>28</v>
      </c>
      <c r="B23" s="70"/>
      <c r="L23" s="41"/>
      <c r="M23" s="41"/>
    </row>
    <row r="24" spans="1:18" ht="12.75" customHeight="1" x14ac:dyDescent="0.3">
      <c r="A24" s="71" t="s">
        <v>29</v>
      </c>
      <c r="B24" s="72"/>
      <c r="C24" s="39"/>
      <c r="D24" s="39"/>
      <c r="E24" s="39"/>
      <c r="F24" s="39"/>
      <c r="G24" s="39"/>
      <c r="H24" s="39"/>
      <c r="I24" s="39"/>
      <c r="J24" s="39"/>
      <c r="K24" s="39"/>
      <c r="L24" s="41"/>
      <c r="M24" s="41"/>
      <c r="N24" s="44"/>
    </row>
    <row r="25" spans="1:18" x14ac:dyDescent="0.3">
      <c r="A25" s="45" t="s">
        <v>30</v>
      </c>
      <c r="L25" s="41"/>
      <c r="M25" s="41"/>
    </row>
    <row r="26" spans="1:18" s="42" customFormat="1" x14ac:dyDescent="0.3">
      <c r="A26" s="47" t="s">
        <v>31</v>
      </c>
      <c r="B26" s="46"/>
      <c r="C26" s="43"/>
      <c r="D26" s="43"/>
      <c r="E26" s="43"/>
      <c r="F26" s="43"/>
      <c r="G26" s="43"/>
      <c r="H26" s="43"/>
      <c r="I26" s="43"/>
      <c r="J26" s="43"/>
      <c r="K26" s="43"/>
      <c r="L26" s="40"/>
      <c r="M26" s="41"/>
      <c r="O26" s="1"/>
      <c r="P26" s="1"/>
      <c r="Q26" s="1"/>
      <c r="R26" s="1"/>
    </row>
    <row r="27" spans="1:18" s="42" customFormat="1" x14ac:dyDescent="0.3">
      <c r="A27" s="48" t="s">
        <v>32</v>
      </c>
      <c r="B27" s="46"/>
      <c r="C27" s="43"/>
      <c r="D27" s="43" t="s">
        <v>27</v>
      </c>
      <c r="E27" s="43"/>
      <c r="F27" s="43"/>
      <c r="G27" s="43"/>
      <c r="H27" s="43"/>
      <c r="I27" s="43"/>
      <c r="J27" s="43"/>
      <c r="K27" s="43"/>
      <c r="L27" s="40"/>
      <c r="M27" s="41"/>
      <c r="O27" s="1"/>
      <c r="P27" s="1"/>
      <c r="Q27" s="1"/>
      <c r="R27" s="1"/>
    </row>
  </sheetData>
  <mergeCells count="5">
    <mergeCell ref="A1:N1"/>
    <mergeCell ref="A21:B21"/>
    <mergeCell ref="A22:B22"/>
    <mergeCell ref="A23:B23"/>
    <mergeCell ref="A24:B24"/>
  </mergeCells>
  <printOptions horizontalCentered="1" verticalCentered="1"/>
  <pageMargins left="0" right="0" top="0" bottom="0" header="0" footer="0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9FA4-DB78-4891-9EA7-85737D0465AD}">
  <dimension ref="A1:R22"/>
  <sheetViews>
    <sheetView zoomScale="115" zoomScaleNormal="115" workbookViewId="0">
      <pane ySplit="2" topLeftCell="A3" activePane="bottomLeft" state="frozen"/>
      <selection pane="bottomLeft" activeCell="A12" sqref="A12"/>
    </sheetView>
  </sheetViews>
  <sheetFormatPr defaultColWidth="8.88671875" defaultRowHeight="13.8" x14ac:dyDescent="0.3"/>
  <cols>
    <col min="1" max="1" width="22.6640625" style="56" customWidth="1"/>
    <col min="2" max="2" width="56.109375" style="46" customWidth="1"/>
    <col min="3" max="3" width="8.6640625" style="43" hidden="1" customWidth="1"/>
    <col min="4" max="5" width="9.6640625" style="43" hidden="1" customWidth="1"/>
    <col min="6" max="11" width="9.6640625" style="43" customWidth="1"/>
    <col min="12" max="13" width="8.88671875" style="40" customWidth="1"/>
    <col min="14" max="14" width="21.88671875" style="42" customWidth="1"/>
    <col min="15" max="15" width="6.109375" style="1" hidden="1" customWidth="1"/>
    <col min="16" max="16" width="7.109375" style="1" hidden="1" customWidth="1"/>
    <col min="17" max="17" width="6.88671875" style="1" hidden="1" customWidth="1"/>
    <col min="18" max="18" width="7.33203125" style="1" hidden="1" customWidth="1"/>
    <col min="19" max="16384" width="8.88671875" style="1"/>
  </cols>
  <sheetData>
    <row r="1" spans="1:18" ht="21.6" thickBot="1" x14ac:dyDescent="0.45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8" ht="23.25" customHeight="1" thickBot="1" x14ac:dyDescent="0.35">
      <c r="A2" s="2" t="s">
        <v>0</v>
      </c>
      <c r="B2" s="3" t="s">
        <v>1</v>
      </c>
      <c r="C2" s="4">
        <v>45497</v>
      </c>
      <c r="D2" s="4">
        <v>45528</v>
      </c>
      <c r="E2" s="4">
        <v>45559</v>
      </c>
      <c r="F2" s="4">
        <v>45566</v>
      </c>
      <c r="G2" s="4">
        <v>45597</v>
      </c>
      <c r="H2" s="4">
        <v>45627</v>
      </c>
      <c r="I2" s="4">
        <v>45682</v>
      </c>
      <c r="J2" s="4">
        <v>45689</v>
      </c>
      <c r="K2" s="4">
        <v>45741</v>
      </c>
      <c r="L2" s="5" t="s">
        <v>2</v>
      </c>
      <c r="M2" s="6" t="s">
        <v>3</v>
      </c>
      <c r="N2" s="7" t="s">
        <v>4</v>
      </c>
      <c r="O2" s="8" t="s">
        <v>5</v>
      </c>
      <c r="P2" s="9" t="s">
        <v>6</v>
      </c>
      <c r="Q2" s="9" t="s">
        <v>5</v>
      </c>
      <c r="R2" s="10" t="s">
        <v>6</v>
      </c>
    </row>
    <row r="3" spans="1:18" ht="24" customHeight="1" x14ac:dyDescent="0.3">
      <c r="A3" s="13">
        <v>1</v>
      </c>
      <c r="B3" s="49" t="s">
        <v>33</v>
      </c>
      <c r="C3" s="14">
        <v>59</v>
      </c>
      <c r="D3" s="14">
        <v>57</v>
      </c>
      <c r="E3" s="14">
        <v>28</v>
      </c>
      <c r="F3" s="14">
        <v>67</v>
      </c>
      <c r="G3" s="14">
        <v>13</v>
      </c>
      <c r="H3" s="14">
        <v>94</v>
      </c>
      <c r="I3" s="14">
        <v>15</v>
      </c>
      <c r="J3" s="14">
        <v>36</v>
      </c>
      <c r="K3" s="14">
        <v>52</v>
      </c>
      <c r="L3" s="15">
        <f>AVERAGE(F3:K3)</f>
        <v>46.166666666666664</v>
      </c>
      <c r="M3" s="15">
        <f>AVERAGE(I3:K3)</f>
        <v>34.333333333333336</v>
      </c>
      <c r="N3" s="21"/>
      <c r="O3" s="17" t="s">
        <v>10</v>
      </c>
      <c r="P3" s="17">
        <v>90</v>
      </c>
      <c r="Q3" s="17" t="s">
        <v>11</v>
      </c>
      <c r="R3" s="17">
        <v>50</v>
      </c>
    </row>
    <row r="4" spans="1:18" ht="24" customHeight="1" x14ac:dyDescent="0.3">
      <c r="A4" s="13">
        <v>2</v>
      </c>
      <c r="B4" s="49" t="s">
        <v>34</v>
      </c>
      <c r="C4" s="14">
        <v>80</v>
      </c>
      <c r="D4" s="14">
        <v>94</v>
      </c>
      <c r="E4" s="14">
        <v>48</v>
      </c>
      <c r="F4" s="14">
        <v>85</v>
      </c>
      <c r="G4" s="14">
        <v>61</v>
      </c>
      <c r="H4" s="14">
        <v>79</v>
      </c>
      <c r="I4" s="14">
        <v>40</v>
      </c>
      <c r="J4" s="14">
        <v>58</v>
      </c>
      <c r="K4" s="14">
        <v>73</v>
      </c>
      <c r="L4" s="58">
        <f>AVERAGE(F4:K4)</f>
        <v>66</v>
      </c>
      <c r="M4" s="15">
        <f>AVERAGE(I4:K4)</f>
        <v>57</v>
      </c>
      <c r="N4" s="21"/>
      <c r="O4" s="17"/>
      <c r="P4" s="17"/>
      <c r="Q4" s="17"/>
      <c r="R4" s="17"/>
    </row>
    <row r="5" spans="1:18" ht="24" customHeight="1" x14ac:dyDescent="0.3">
      <c r="A5" s="13">
        <v>3</v>
      </c>
      <c r="B5" s="49" t="s">
        <v>35</v>
      </c>
      <c r="C5" s="26"/>
      <c r="D5" s="26"/>
      <c r="E5" s="14">
        <v>64</v>
      </c>
      <c r="F5" s="14">
        <v>76</v>
      </c>
      <c r="G5" s="14">
        <v>88</v>
      </c>
      <c r="H5" s="14">
        <v>68</v>
      </c>
      <c r="I5" s="14">
        <v>97</v>
      </c>
      <c r="J5" s="14">
        <v>55</v>
      </c>
      <c r="K5" s="14">
        <v>64</v>
      </c>
      <c r="L5" s="61">
        <f t="shared" ref="L5" si="0">AVERAGE(F5:K5)</f>
        <v>74.666666666666671</v>
      </c>
      <c r="M5" s="18">
        <f t="shared" ref="M5" si="1">AVERAGE(I5:K5)</f>
        <v>72</v>
      </c>
      <c r="N5" s="21"/>
      <c r="O5" s="17"/>
      <c r="P5" s="17"/>
      <c r="Q5" s="17"/>
      <c r="R5" s="17"/>
    </row>
    <row r="6" spans="1:18" ht="24" customHeight="1" x14ac:dyDescent="0.3">
      <c r="A6" s="13">
        <v>4</v>
      </c>
      <c r="B6" s="50" t="s">
        <v>36</v>
      </c>
      <c r="C6" s="26"/>
      <c r="D6" s="26"/>
      <c r="E6" s="14">
        <v>46</v>
      </c>
      <c r="F6" s="14">
        <v>46</v>
      </c>
      <c r="G6" s="14">
        <v>49</v>
      </c>
      <c r="H6" s="14">
        <v>52</v>
      </c>
      <c r="I6" s="14">
        <v>54</v>
      </c>
      <c r="J6" s="14">
        <v>56</v>
      </c>
      <c r="K6" s="14">
        <v>58</v>
      </c>
      <c r="L6" s="12">
        <f>AVERAGE(F6:K6)</f>
        <v>52.5</v>
      </c>
      <c r="M6" s="15">
        <f>AVERAGE(I6:K6)</f>
        <v>56</v>
      </c>
      <c r="N6" s="21"/>
      <c r="O6" s="17"/>
      <c r="P6" s="17"/>
      <c r="Q6" s="17"/>
      <c r="R6" s="17"/>
    </row>
    <row r="7" spans="1:18" ht="24" customHeight="1" x14ac:dyDescent="0.3">
      <c r="A7" s="13">
        <v>5</v>
      </c>
      <c r="B7" s="50" t="s">
        <v>37</v>
      </c>
      <c r="C7" s="26"/>
      <c r="D7" s="26"/>
      <c r="E7" s="14">
        <v>60</v>
      </c>
      <c r="F7" s="14">
        <v>59</v>
      </c>
      <c r="G7" s="14">
        <v>75</v>
      </c>
      <c r="H7" s="14">
        <v>76</v>
      </c>
      <c r="I7" s="14">
        <v>49</v>
      </c>
      <c r="J7" s="14">
        <v>36</v>
      </c>
      <c r="K7" s="14">
        <v>72</v>
      </c>
      <c r="L7" s="12">
        <f>AVERAGE(F7:K7)</f>
        <v>61.166666666666664</v>
      </c>
      <c r="M7" s="15">
        <f>AVERAGE(I7:K7)</f>
        <v>52.333333333333336</v>
      </c>
      <c r="N7" s="21"/>
      <c r="O7" s="17"/>
      <c r="P7" s="17"/>
      <c r="Q7" s="17"/>
      <c r="R7" s="17"/>
    </row>
    <row r="8" spans="1:18" x14ac:dyDescent="0.3">
      <c r="A8" s="13">
        <v>6</v>
      </c>
      <c r="B8" s="50" t="s">
        <v>38</v>
      </c>
      <c r="C8" s="27">
        <v>55</v>
      </c>
      <c r="D8" s="27">
        <v>51</v>
      </c>
      <c r="E8" s="14">
        <v>32</v>
      </c>
      <c r="F8" s="14">
        <v>36</v>
      </c>
      <c r="G8" s="14">
        <v>31</v>
      </c>
      <c r="H8" s="14">
        <v>39</v>
      </c>
      <c r="I8" s="14">
        <v>0</v>
      </c>
      <c r="J8" s="14">
        <v>46</v>
      </c>
      <c r="K8" s="14">
        <v>49</v>
      </c>
      <c r="L8" s="28">
        <f>AVERAGE(F8:K8)</f>
        <v>33.5</v>
      </c>
      <c r="M8" s="15">
        <f>AVERAGE(I8:K8)</f>
        <v>31.666666666666668</v>
      </c>
      <c r="N8" s="21"/>
      <c r="O8" s="16">
        <v>45274</v>
      </c>
      <c r="P8" s="17">
        <v>100</v>
      </c>
      <c r="Q8" s="16">
        <v>44937</v>
      </c>
      <c r="R8" s="17">
        <v>50</v>
      </c>
    </row>
    <row r="9" spans="1:18" ht="24" customHeight="1" x14ac:dyDescent="0.3">
      <c r="A9" s="13">
        <v>7</v>
      </c>
      <c r="B9" s="55" t="s">
        <v>55</v>
      </c>
      <c r="C9" s="11"/>
      <c r="D9" s="11"/>
      <c r="E9" s="11"/>
      <c r="F9" s="23"/>
      <c r="G9" s="11">
        <v>100</v>
      </c>
      <c r="H9" s="11">
        <v>93</v>
      </c>
      <c r="I9" s="11">
        <v>63</v>
      </c>
      <c r="J9" s="11">
        <v>79</v>
      </c>
      <c r="K9" s="11">
        <v>80</v>
      </c>
      <c r="L9" s="61">
        <f>AVERAGE(F9:K9)</f>
        <v>83</v>
      </c>
      <c r="M9" s="18">
        <f>AVERAGE(I9:K9)</f>
        <v>74</v>
      </c>
      <c r="N9" s="21"/>
      <c r="O9" s="17"/>
      <c r="P9" s="17"/>
      <c r="Q9" s="17"/>
      <c r="R9" s="17"/>
    </row>
    <row r="10" spans="1:18" ht="24" customHeight="1" x14ac:dyDescent="0.3">
      <c r="A10" s="13">
        <v>8</v>
      </c>
      <c r="B10" s="50" t="s">
        <v>44</v>
      </c>
      <c r="C10" s="11"/>
      <c r="D10" s="11"/>
      <c r="E10" s="11"/>
      <c r="F10" s="23"/>
      <c r="G10" s="54"/>
      <c r="H10" s="54"/>
      <c r="I10" s="54"/>
      <c r="J10" s="57"/>
      <c r="K10" s="32"/>
      <c r="L10" s="24"/>
      <c r="M10" s="24"/>
      <c r="N10" s="25"/>
      <c r="O10" s="17"/>
      <c r="P10" s="17"/>
      <c r="Q10" s="17"/>
      <c r="R10" s="17"/>
    </row>
    <row r="11" spans="1:18" ht="24" customHeight="1" x14ac:dyDescent="0.3">
      <c r="A11" s="13">
        <v>9</v>
      </c>
      <c r="B11" s="49" t="s">
        <v>45</v>
      </c>
      <c r="C11" s="11">
        <v>70</v>
      </c>
      <c r="D11" s="11">
        <v>76</v>
      </c>
      <c r="E11" s="11">
        <v>25</v>
      </c>
      <c r="F11" s="11">
        <v>55</v>
      </c>
      <c r="G11" s="11">
        <v>80</v>
      </c>
      <c r="H11" s="11">
        <v>91</v>
      </c>
      <c r="I11" s="11">
        <v>51</v>
      </c>
      <c r="J11" s="22">
        <v>83</v>
      </c>
      <c r="K11" s="22">
        <v>62</v>
      </c>
      <c r="L11" s="15">
        <f>AVERAGE(F11:K11)</f>
        <v>70.333333333333329</v>
      </c>
      <c r="M11" s="60">
        <f>AVERAGE(I11:K11)</f>
        <v>65.333333333333329</v>
      </c>
      <c r="N11" s="21"/>
      <c r="O11" s="17" t="s">
        <v>19</v>
      </c>
      <c r="P11" s="17">
        <v>100</v>
      </c>
      <c r="Q11" s="17" t="s">
        <v>20</v>
      </c>
      <c r="R11" s="17">
        <v>60</v>
      </c>
    </row>
    <row r="12" spans="1:18" ht="24" customHeight="1" x14ac:dyDescent="0.3">
      <c r="A12" s="20">
        <v>10</v>
      </c>
      <c r="B12" s="51" t="s">
        <v>47</v>
      </c>
      <c r="C12" s="11"/>
      <c r="D12" s="11"/>
      <c r="E12" s="11">
        <v>99</v>
      </c>
      <c r="F12" s="11">
        <v>96</v>
      </c>
      <c r="G12" s="11">
        <v>81</v>
      </c>
      <c r="H12" s="11">
        <v>91</v>
      </c>
      <c r="I12" s="11">
        <v>92</v>
      </c>
      <c r="J12" s="11">
        <v>85</v>
      </c>
      <c r="K12" s="11">
        <v>93</v>
      </c>
      <c r="L12" s="62">
        <f>AVERAGE(F12:K12)</f>
        <v>89.666666666666671</v>
      </c>
      <c r="M12" s="60">
        <f>AVERAGE(I12:K12)</f>
        <v>90</v>
      </c>
      <c r="N12" s="21"/>
      <c r="O12" s="16"/>
      <c r="P12" s="17"/>
      <c r="Q12" s="17"/>
      <c r="R12" s="17"/>
    </row>
    <row r="13" spans="1:18" x14ac:dyDescent="0.3">
      <c r="A13" s="13">
        <v>11</v>
      </c>
      <c r="B13" s="50" t="s">
        <v>49</v>
      </c>
      <c r="C13" s="11">
        <v>92</v>
      </c>
      <c r="D13" s="11">
        <v>92</v>
      </c>
      <c r="E13" s="11">
        <v>97</v>
      </c>
      <c r="F13" s="11">
        <v>85</v>
      </c>
      <c r="G13" s="11">
        <v>87</v>
      </c>
      <c r="H13" s="11">
        <v>79</v>
      </c>
      <c r="I13" s="11">
        <v>84</v>
      </c>
      <c r="J13" s="11">
        <v>99</v>
      </c>
      <c r="K13" s="11">
        <v>91</v>
      </c>
      <c r="L13" s="60">
        <f>AVERAGE(F13:K13)</f>
        <v>87.5</v>
      </c>
      <c r="M13" s="60">
        <f>AVERAGE(I13:K13)</f>
        <v>91.333333333333329</v>
      </c>
      <c r="N13" s="21"/>
      <c r="O13" s="16">
        <v>45266</v>
      </c>
      <c r="P13" s="17">
        <v>100</v>
      </c>
      <c r="Q13" s="16">
        <v>44929</v>
      </c>
      <c r="R13" s="17">
        <v>0</v>
      </c>
    </row>
    <row r="14" spans="1:18" ht="24" customHeight="1" x14ac:dyDescent="0.3">
      <c r="A14" s="13">
        <v>12</v>
      </c>
      <c r="B14" s="49" t="s">
        <v>53</v>
      </c>
      <c r="C14" s="14"/>
      <c r="D14" s="14"/>
      <c r="E14" s="14"/>
      <c r="F14" s="14">
        <v>52</v>
      </c>
      <c r="G14" s="14">
        <v>55</v>
      </c>
      <c r="H14" s="14">
        <v>64</v>
      </c>
      <c r="I14" s="14">
        <v>6</v>
      </c>
      <c r="J14" s="14">
        <v>74</v>
      </c>
      <c r="K14" s="14">
        <v>52</v>
      </c>
      <c r="L14" s="12">
        <f>AVERAGE(F14:K14)</f>
        <v>50.5</v>
      </c>
      <c r="M14" s="15">
        <f>AVERAGE(I14:K14)</f>
        <v>44</v>
      </c>
      <c r="N14" s="21"/>
      <c r="O14" s="17"/>
      <c r="P14" s="17"/>
      <c r="Q14" s="17"/>
      <c r="R14" s="17"/>
    </row>
    <row r="15" spans="1:18" ht="24" customHeight="1" thickBot="1" x14ac:dyDescent="0.35">
      <c r="A15" s="13">
        <v>13</v>
      </c>
      <c r="B15" s="49" t="s">
        <v>54</v>
      </c>
      <c r="C15" s="14">
        <v>76</v>
      </c>
      <c r="D15" s="14">
        <v>83</v>
      </c>
      <c r="E15" s="14">
        <v>70</v>
      </c>
      <c r="F15" s="14">
        <v>99</v>
      </c>
      <c r="G15" s="14">
        <v>99</v>
      </c>
      <c r="H15" s="14">
        <v>100</v>
      </c>
      <c r="I15" s="14">
        <v>86</v>
      </c>
      <c r="J15" s="14">
        <v>99</v>
      </c>
      <c r="K15" s="14">
        <v>89</v>
      </c>
      <c r="L15" s="61">
        <f>AVERAGE(F15:K15)</f>
        <v>95.333333333333329</v>
      </c>
      <c r="M15" s="60">
        <f>AVERAGE(I15:K15)</f>
        <v>91.333333333333329</v>
      </c>
      <c r="N15" s="21"/>
      <c r="O15" s="16">
        <v>45268</v>
      </c>
      <c r="P15" s="17">
        <v>0</v>
      </c>
      <c r="Q15" s="16">
        <v>44938</v>
      </c>
      <c r="R15" s="17">
        <v>50</v>
      </c>
    </row>
    <row r="16" spans="1:18" ht="17.25" customHeight="1" thickTop="1" thickBot="1" x14ac:dyDescent="0.65">
      <c r="A16" s="65" t="s">
        <v>25</v>
      </c>
      <c r="B16" s="66"/>
      <c r="C16" s="33">
        <f>SUM(C3:C15)/36</f>
        <v>12</v>
      </c>
      <c r="D16" s="33">
        <f>SUM(D3:D15)/36</f>
        <v>12.583333333333334</v>
      </c>
      <c r="E16" s="34">
        <f t="shared" ref="E16:M16" si="2">AVERAGE(E3:E15)</f>
        <v>56.9</v>
      </c>
      <c r="F16" s="33">
        <f t="shared" si="2"/>
        <v>68.727272727272734</v>
      </c>
      <c r="G16" s="33">
        <f t="shared" si="2"/>
        <v>68.25</v>
      </c>
      <c r="H16" s="33">
        <f t="shared" si="2"/>
        <v>77.166666666666671</v>
      </c>
      <c r="I16" s="33">
        <f t="shared" si="2"/>
        <v>53.083333333333336</v>
      </c>
      <c r="J16" s="33">
        <f t="shared" si="2"/>
        <v>67.166666666666671</v>
      </c>
      <c r="K16" s="33">
        <f t="shared" si="2"/>
        <v>69.583333333333329</v>
      </c>
      <c r="L16" s="35">
        <f t="shared" si="2"/>
        <v>67.527777777777786</v>
      </c>
      <c r="M16" s="35">
        <f t="shared" si="2"/>
        <v>63.277777777777793</v>
      </c>
      <c r="N16" s="36"/>
      <c r="O16" s="37"/>
      <c r="P16" s="37"/>
      <c r="Q16" s="38"/>
      <c r="R16" s="38"/>
    </row>
    <row r="17" spans="1:14" x14ac:dyDescent="0.3">
      <c r="A17" s="67" t="s">
        <v>26</v>
      </c>
      <c r="B17" s="68"/>
      <c r="C17" s="39"/>
      <c r="D17" s="39"/>
      <c r="E17" s="39"/>
      <c r="F17" s="39"/>
      <c r="G17" s="39"/>
      <c r="H17" s="39"/>
      <c r="I17" s="39"/>
      <c r="J17" s="39"/>
      <c r="K17" s="39"/>
      <c r="L17" s="40" t="s">
        <v>27</v>
      </c>
      <c r="M17" s="41" t="s">
        <v>27</v>
      </c>
    </row>
    <row r="18" spans="1:14" ht="14.25" customHeight="1" x14ac:dyDescent="0.3">
      <c r="A18" s="69" t="s">
        <v>28</v>
      </c>
      <c r="B18" s="70"/>
      <c r="L18" s="41"/>
      <c r="M18" s="41"/>
    </row>
    <row r="19" spans="1:14" ht="12.75" customHeight="1" x14ac:dyDescent="0.3">
      <c r="A19" s="71" t="s">
        <v>29</v>
      </c>
      <c r="B19" s="72"/>
      <c r="C19" s="39"/>
      <c r="D19" s="39"/>
      <c r="E19" s="39"/>
      <c r="F19" s="39"/>
      <c r="G19" s="39"/>
      <c r="H19" s="39"/>
      <c r="I19" s="39"/>
      <c r="J19" s="39"/>
      <c r="K19" s="39"/>
      <c r="L19" s="41"/>
      <c r="M19" s="41"/>
      <c r="N19" s="44"/>
    </row>
    <row r="20" spans="1:14" x14ac:dyDescent="0.3">
      <c r="A20" s="45" t="s">
        <v>30</v>
      </c>
      <c r="L20" s="41"/>
      <c r="M20" s="41"/>
    </row>
    <row r="21" spans="1:14" x14ac:dyDescent="0.3">
      <c r="A21" s="47" t="s">
        <v>31</v>
      </c>
      <c r="M21" s="41"/>
    </row>
    <row r="22" spans="1:14" x14ac:dyDescent="0.3">
      <c r="A22" s="48" t="s">
        <v>32</v>
      </c>
      <c r="D22" s="43" t="s">
        <v>27</v>
      </c>
      <c r="M22" s="41"/>
    </row>
  </sheetData>
  <mergeCells count="5">
    <mergeCell ref="A1:N1"/>
    <mergeCell ref="A16:B16"/>
    <mergeCell ref="A17:B17"/>
    <mergeCell ref="A18:B18"/>
    <mergeCell ref="A19:B19"/>
  </mergeCells>
  <printOptions horizontalCentered="1" verticalCentered="1"/>
  <pageMargins left="0" right="0" top="0" bottom="0" header="0" footer="0"/>
  <pageSetup paperSize="5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AE37-9E1D-4EAC-A580-7D31FDFB1FC9}">
  <dimension ref="A1:R22"/>
  <sheetViews>
    <sheetView zoomScale="115" zoomScaleNormal="115" workbookViewId="0">
      <pane ySplit="2" topLeftCell="A19" activePane="bottomLeft" state="frozen"/>
      <selection pane="bottomLeft" sqref="A1:N1"/>
    </sheetView>
  </sheetViews>
  <sheetFormatPr defaultColWidth="8.88671875" defaultRowHeight="13.8" x14ac:dyDescent="0.3"/>
  <cols>
    <col min="1" max="1" width="22.6640625" style="56" customWidth="1"/>
    <col min="2" max="2" width="56.109375" style="46" customWidth="1"/>
    <col min="3" max="3" width="8.6640625" style="43" hidden="1" customWidth="1"/>
    <col min="4" max="5" width="9.6640625" style="43" hidden="1" customWidth="1"/>
    <col min="6" max="11" width="9.6640625" style="43" customWidth="1"/>
    <col min="12" max="13" width="8.88671875" style="40" customWidth="1"/>
    <col min="14" max="14" width="21.88671875" style="42" customWidth="1"/>
    <col min="15" max="15" width="6.109375" style="1" hidden="1" customWidth="1"/>
    <col min="16" max="16" width="7.109375" style="1" hidden="1" customWidth="1"/>
    <col min="17" max="17" width="6.88671875" style="1" hidden="1" customWidth="1"/>
    <col min="18" max="18" width="7.33203125" style="1" hidden="1" customWidth="1"/>
    <col min="19" max="16384" width="8.88671875" style="1"/>
  </cols>
  <sheetData>
    <row r="1" spans="1:18" ht="21.6" thickBot="1" x14ac:dyDescent="0.45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8" ht="23.25" customHeight="1" thickBot="1" x14ac:dyDescent="0.35">
      <c r="A2" s="2" t="s">
        <v>0</v>
      </c>
      <c r="B2" s="3" t="s">
        <v>1</v>
      </c>
      <c r="C2" s="4">
        <v>45497</v>
      </c>
      <c r="D2" s="4">
        <v>45528</v>
      </c>
      <c r="E2" s="4">
        <v>45559</v>
      </c>
      <c r="F2" s="4">
        <v>45566</v>
      </c>
      <c r="G2" s="4">
        <v>45597</v>
      </c>
      <c r="H2" s="4">
        <v>45627</v>
      </c>
      <c r="I2" s="4">
        <v>45682</v>
      </c>
      <c r="J2" s="4">
        <v>45689</v>
      </c>
      <c r="K2" s="4">
        <v>45741</v>
      </c>
      <c r="L2" s="5" t="s">
        <v>2</v>
      </c>
      <c r="M2" s="6" t="s">
        <v>3</v>
      </c>
      <c r="N2" s="7" t="s">
        <v>4</v>
      </c>
      <c r="O2" s="8" t="s">
        <v>5</v>
      </c>
      <c r="P2" s="9" t="s">
        <v>6</v>
      </c>
      <c r="Q2" s="9" t="s">
        <v>5</v>
      </c>
      <c r="R2" s="10" t="s">
        <v>6</v>
      </c>
    </row>
    <row r="3" spans="1:18" ht="24" customHeight="1" x14ac:dyDescent="0.3">
      <c r="A3" s="63">
        <v>1</v>
      </c>
      <c r="B3" s="49" t="s">
        <v>33</v>
      </c>
      <c r="C3" s="14">
        <v>59</v>
      </c>
      <c r="D3" s="14">
        <v>57</v>
      </c>
      <c r="E3" s="14">
        <v>28</v>
      </c>
      <c r="F3" s="14">
        <v>67</v>
      </c>
      <c r="G3" s="14">
        <v>13</v>
      </c>
      <c r="H3" s="14">
        <v>94</v>
      </c>
      <c r="I3" s="14">
        <v>15</v>
      </c>
      <c r="J3" s="14">
        <v>36</v>
      </c>
      <c r="K3" s="14">
        <v>52</v>
      </c>
      <c r="L3" s="15">
        <f>AVERAGE(F3:K3)</f>
        <v>46.166666666666664</v>
      </c>
      <c r="M3" s="15">
        <f>AVERAGE(I3:K3)</f>
        <v>34.333333333333336</v>
      </c>
      <c r="N3" s="21"/>
      <c r="O3" s="17" t="s">
        <v>10</v>
      </c>
      <c r="P3" s="17">
        <v>90</v>
      </c>
      <c r="Q3" s="17" t="s">
        <v>11</v>
      </c>
      <c r="R3" s="17">
        <v>50</v>
      </c>
    </row>
    <row r="4" spans="1:18" ht="24" customHeight="1" x14ac:dyDescent="0.3">
      <c r="A4" s="63">
        <v>2</v>
      </c>
      <c r="B4" s="49" t="s">
        <v>34</v>
      </c>
      <c r="C4" s="14">
        <v>80</v>
      </c>
      <c r="D4" s="14">
        <v>94</v>
      </c>
      <c r="E4" s="14">
        <v>48</v>
      </c>
      <c r="F4" s="14">
        <v>85</v>
      </c>
      <c r="G4" s="14">
        <v>61</v>
      </c>
      <c r="H4" s="14">
        <v>79</v>
      </c>
      <c r="I4" s="14">
        <v>40</v>
      </c>
      <c r="J4" s="14">
        <v>58</v>
      </c>
      <c r="K4" s="14">
        <v>73</v>
      </c>
      <c r="L4" s="58">
        <f>AVERAGE(F4:K4)</f>
        <v>66</v>
      </c>
      <c r="M4" s="15">
        <f>AVERAGE(I4:K4)</f>
        <v>57</v>
      </c>
      <c r="N4" s="21"/>
      <c r="O4" s="17"/>
      <c r="P4" s="17"/>
      <c r="Q4" s="17"/>
      <c r="R4" s="17"/>
    </row>
    <row r="5" spans="1:18" ht="24" customHeight="1" x14ac:dyDescent="0.3">
      <c r="A5" s="63">
        <v>3</v>
      </c>
      <c r="B5" s="49" t="s">
        <v>35</v>
      </c>
      <c r="C5" s="26"/>
      <c r="D5" s="26"/>
      <c r="E5" s="14">
        <v>64</v>
      </c>
      <c r="F5" s="14">
        <v>76</v>
      </c>
      <c r="G5" s="14">
        <v>88</v>
      </c>
      <c r="H5" s="14">
        <v>68</v>
      </c>
      <c r="I5" s="14">
        <v>97</v>
      </c>
      <c r="J5" s="14">
        <v>55</v>
      </c>
      <c r="K5" s="14">
        <v>64</v>
      </c>
      <c r="L5" s="61">
        <f t="shared" ref="L5" si="0">AVERAGE(F5:K5)</f>
        <v>74.666666666666671</v>
      </c>
      <c r="M5" s="18">
        <f t="shared" ref="M5" si="1">AVERAGE(I5:K5)</f>
        <v>72</v>
      </c>
      <c r="N5" s="21"/>
      <c r="O5" s="17"/>
      <c r="P5" s="17"/>
      <c r="Q5" s="17"/>
      <c r="R5" s="17"/>
    </row>
    <row r="6" spans="1:18" ht="24" customHeight="1" x14ac:dyDescent="0.3">
      <c r="A6" s="63">
        <v>4</v>
      </c>
      <c r="B6" s="50" t="s">
        <v>36</v>
      </c>
      <c r="C6" s="26"/>
      <c r="D6" s="26"/>
      <c r="E6" s="14">
        <v>46</v>
      </c>
      <c r="F6" s="14">
        <v>46</v>
      </c>
      <c r="G6" s="14">
        <v>49</v>
      </c>
      <c r="H6" s="14">
        <v>52</v>
      </c>
      <c r="I6" s="14">
        <v>54</v>
      </c>
      <c r="J6" s="14">
        <v>56</v>
      </c>
      <c r="K6" s="14">
        <v>58</v>
      </c>
      <c r="L6" s="12">
        <f t="shared" ref="L6:L15" si="2">AVERAGE(F6:K6)</f>
        <v>52.5</v>
      </c>
      <c r="M6" s="15">
        <f t="shared" ref="M6:M15" si="3">AVERAGE(I6:K6)</f>
        <v>56</v>
      </c>
      <c r="N6" s="21"/>
      <c r="O6" s="17"/>
      <c r="P6" s="17"/>
      <c r="Q6" s="17"/>
      <c r="R6" s="17"/>
    </row>
    <row r="7" spans="1:18" ht="24" customHeight="1" x14ac:dyDescent="0.3">
      <c r="A7" s="63">
        <v>5</v>
      </c>
      <c r="B7" s="50" t="s">
        <v>37</v>
      </c>
      <c r="C7" s="26"/>
      <c r="D7" s="26"/>
      <c r="E7" s="14">
        <v>60</v>
      </c>
      <c r="F7" s="14">
        <v>59</v>
      </c>
      <c r="G7" s="14">
        <v>75</v>
      </c>
      <c r="H7" s="14">
        <v>76</v>
      </c>
      <c r="I7" s="14">
        <v>49</v>
      </c>
      <c r="J7" s="14">
        <v>36</v>
      </c>
      <c r="K7" s="14">
        <v>72</v>
      </c>
      <c r="L7" s="12">
        <f t="shared" si="2"/>
        <v>61.166666666666664</v>
      </c>
      <c r="M7" s="15">
        <f t="shared" si="3"/>
        <v>52.333333333333336</v>
      </c>
      <c r="N7" s="21"/>
      <c r="O7" s="17"/>
      <c r="P7" s="17"/>
      <c r="Q7" s="17"/>
      <c r="R7" s="17"/>
    </row>
    <row r="8" spans="1:18" ht="24" customHeight="1" x14ac:dyDescent="0.3">
      <c r="A8" s="63">
        <v>6</v>
      </c>
      <c r="B8" s="50" t="s">
        <v>38</v>
      </c>
      <c r="C8" s="27">
        <v>55</v>
      </c>
      <c r="D8" s="27">
        <v>51</v>
      </c>
      <c r="E8" s="14">
        <v>32</v>
      </c>
      <c r="F8" s="14">
        <v>36</v>
      </c>
      <c r="G8" s="14">
        <v>31</v>
      </c>
      <c r="H8" s="14">
        <v>39</v>
      </c>
      <c r="I8" s="14">
        <v>0</v>
      </c>
      <c r="J8" s="14">
        <v>46</v>
      </c>
      <c r="K8" s="14">
        <v>49</v>
      </c>
      <c r="L8" s="28">
        <f t="shared" si="2"/>
        <v>33.5</v>
      </c>
      <c r="M8" s="15">
        <f t="shared" si="3"/>
        <v>31.666666666666668</v>
      </c>
      <c r="N8" s="21"/>
      <c r="O8" s="16">
        <v>45274</v>
      </c>
      <c r="P8" s="17">
        <v>100</v>
      </c>
      <c r="Q8" s="16">
        <v>44937</v>
      </c>
      <c r="R8" s="17">
        <v>50</v>
      </c>
    </row>
    <row r="9" spans="1:18" ht="24" customHeight="1" x14ac:dyDescent="0.3">
      <c r="A9" s="63">
        <v>7</v>
      </c>
      <c r="B9" s="49" t="s">
        <v>40</v>
      </c>
      <c r="C9" s="14">
        <v>30</v>
      </c>
      <c r="D9" s="14">
        <v>19</v>
      </c>
      <c r="E9" s="14">
        <v>66</v>
      </c>
      <c r="F9" s="14">
        <v>0</v>
      </c>
      <c r="G9" s="14">
        <v>59</v>
      </c>
      <c r="H9" s="14">
        <v>94</v>
      </c>
      <c r="I9" s="14">
        <v>36</v>
      </c>
      <c r="J9" s="14">
        <v>92</v>
      </c>
      <c r="K9" s="14">
        <v>74</v>
      </c>
      <c r="L9" s="12">
        <f t="shared" si="2"/>
        <v>59.166666666666664</v>
      </c>
      <c r="M9" s="18">
        <f t="shared" si="3"/>
        <v>67.333333333333329</v>
      </c>
      <c r="N9" s="21"/>
      <c r="O9" s="17" t="s">
        <v>15</v>
      </c>
      <c r="P9" s="17">
        <v>100</v>
      </c>
      <c r="Q9" s="17" t="s">
        <v>16</v>
      </c>
      <c r="R9" s="17">
        <v>50</v>
      </c>
    </row>
    <row r="10" spans="1:18" ht="24" customHeight="1" x14ac:dyDescent="0.3">
      <c r="A10" s="63">
        <v>8</v>
      </c>
      <c r="B10" s="55" t="s">
        <v>55</v>
      </c>
      <c r="C10" s="11"/>
      <c r="D10" s="11"/>
      <c r="E10" s="11"/>
      <c r="F10" s="23"/>
      <c r="G10" s="11">
        <v>100</v>
      </c>
      <c r="H10" s="11">
        <v>93</v>
      </c>
      <c r="I10" s="11">
        <v>63</v>
      </c>
      <c r="J10" s="11">
        <v>79</v>
      </c>
      <c r="K10" s="11">
        <v>80</v>
      </c>
      <c r="L10" s="61">
        <f t="shared" si="2"/>
        <v>83</v>
      </c>
      <c r="M10" s="18">
        <f t="shared" si="3"/>
        <v>74</v>
      </c>
      <c r="N10" s="21"/>
      <c r="O10" s="17"/>
      <c r="P10" s="17"/>
      <c r="Q10" s="17"/>
      <c r="R10" s="17"/>
    </row>
    <row r="11" spans="1:18" ht="24" customHeight="1" x14ac:dyDescent="0.3">
      <c r="A11" s="63">
        <v>9</v>
      </c>
      <c r="B11" s="49" t="s">
        <v>45</v>
      </c>
      <c r="C11" s="11">
        <v>70</v>
      </c>
      <c r="D11" s="11">
        <v>76</v>
      </c>
      <c r="E11" s="11">
        <v>25</v>
      </c>
      <c r="F11" s="11">
        <v>55</v>
      </c>
      <c r="G11" s="11">
        <v>80</v>
      </c>
      <c r="H11" s="11">
        <v>91</v>
      </c>
      <c r="I11" s="11">
        <v>51</v>
      </c>
      <c r="J11" s="22">
        <v>83</v>
      </c>
      <c r="K11" s="22">
        <v>62</v>
      </c>
      <c r="L11" s="15">
        <f t="shared" si="2"/>
        <v>70.333333333333329</v>
      </c>
      <c r="M11" s="60">
        <f t="shared" si="3"/>
        <v>65.333333333333329</v>
      </c>
      <c r="N11" s="21"/>
      <c r="O11" s="17" t="s">
        <v>19</v>
      </c>
      <c r="P11" s="17">
        <v>100</v>
      </c>
      <c r="Q11" s="17" t="s">
        <v>20</v>
      </c>
      <c r="R11" s="17">
        <v>60</v>
      </c>
    </row>
    <row r="12" spans="1:18" ht="24" customHeight="1" x14ac:dyDescent="0.3">
      <c r="A12" s="63">
        <v>10</v>
      </c>
      <c r="B12" s="49" t="s">
        <v>46</v>
      </c>
      <c r="C12" s="11">
        <v>100</v>
      </c>
      <c r="D12" s="11">
        <v>81</v>
      </c>
      <c r="E12" s="11">
        <v>94</v>
      </c>
      <c r="F12" s="11">
        <v>96</v>
      </c>
      <c r="G12" s="11">
        <v>84</v>
      </c>
      <c r="H12" s="11">
        <v>65</v>
      </c>
      <c r="I12" s="11">
        <v>100</v>
      </c>
      <c r="J12" s="11">
        <v>77</v>
      </c>
      <c r="K12" s="11">
        <v>94</v>
      </c>
      <c r="L12" s="61">
        <f t="shared" si="2"/>
        <v>86</v>
      </c>
      <c r="M12" s="60">
        <f t="shared" si="3"/>
        <v>90.333333333333329</v>
      </c>
      <c r="N12" s="21"/>
      <c r="O12" s="31" t="s">
        <v>8</v>
      </c>
      <c r="P12" s="17">
        <v>25</v>
      </c>
      <c r="Q12" s="17" t="s">
        <v>9</v>
      </c>
      <c r="R12" s="17">
        <v>0</v>
      </c>
    </row>
    <row r="13" spans="1:18" ht="24" customHeight="1" x14ac:dyDescent="0.3">
      <c r="A13" s="20">
        <v>11</v>
      </c>
      <c r="B13" s="51" t="s">
        <v>47</v>
      </c>
      <c r="C13" s="11"/>
      <c r="D13" s="11"/>
      <c r="E13" s="11">
        <v>99</v>
      </c>
      <c r="F13" s="11">
        <v>96</v>
      </c>
      <c r="G13" s="11">
        <v>81</v>
      </c>
      <c r="H13" s="11">
        <v>91</v>
      </c>
      <c r="I13" s="11">
        <v>92</v>
      </c>
      <c r="J13" s="11">
        <v>85</v>
      </c>
      <c r="K13" s="11">
        <v>93</v>
      </c>
      <c r="L13" s="62">
        <f t="shared" si="2"/>
        <v>89.666666666666671</v>
      </c>
      <c r="M13" s="60">
        <f t="shared" si="3"/>
        <v>90</v>
      </c>
      <c r="N13" s="21"/>
      <c r="O13" s="16"/>
      <c r="P13" s="17"/>
      <c r="Q13" s="17"/>
      <c r="R13" s="17"/>
    </row>
    <row r="14" spans="1:18" ht="24" customHeight="1" x14ac:dyDescent="0.3">
      <c r="A14" s="20">
        <v>12</v>
      </c>
      <c r="B14" s="51" t="s">
        <v>48</v>
      </c>
      <c r="C14" s="11"/>
      <c r="D14" s="11"/>
      <c r="E14" s="11">
        <v>80</v>
      </c>
      <c r="F14" s="11">
        <v>77</v>
      </c>
      <c r="G14" s="11">
        <v>88</v>
      </c>
      <c r="H14" s="11">
        <v>53</v>
      </c>
      <c r="I14" s="11">
        <v>88</v>
      </c>
      <c r="J14" s="11">
        <v>81</v>
      </c>
      <c r="K14" s="11">
        <v>83</v>
      </c>
      <c r="L14" s="62">
        <f t="shared" si="2"/>
        <v>78.333333333333329</v>
      </c>
      <c r="M14" s="60">
        <f t="shared" si="3"/>
        <v>84</v>
      </c>
      <c r="N14" s="21"/>
      <c r="O14" s="16"/>
      <c r="P14" s="17"/>
      <c r="Q14" s="17"/>
      <c r="R14" s="17"/>
    </row>
    <row r="15" spans="1:18" ht="24" customHeight="1" thickBot="1" x14ac:dyDescent="0.35">
      <c r="A15" s="63">
        <v>13</v>
      </c>
      <c r="B15" s="50" t="s">
        <v>49</v>
      </c>
      <c r="C15" s="11">
        <v>92</v>
      </c>
      <c r="D15" s="11">
        <v>92</v>
      </c>
      <c r="E15" s="11">
        <v>97</v>
      </c>
      <c r="F15" s="11">
        <v>85</v>
      </c>
      <c r="G15" s="11">
        <v>87</v>
      </c>
      <c r="H15" s="11">
        <v>79</v>
      </c>
      <c r="I15" s="11">
        <v>84</v>
      </c>
      <c r="J15" s="11">
        <v>99</v>
      </c>
      <c r="K15" s="11">
        <v>91</v>
      </c>
      <c r="L15" s="60">
        <f t="shared" si="2"/>
        <v>87.5</v>
      </c>
      <c r="M15" s="60">
        <f t="shared" si="3"/>
        <v>91.333333333333329</v>
      </c>
      <c r="N15" s="21"/>
      <c r="O15" s="16">
        <v>45266</v>
      </c>
      <c r="P15" s="17">
        <v>100</v>
      </c>
      <c r="Q15" s="16">
        <v>44929</v>
      </c>
      <c r="R15" s="17">
        <v>0</v>
      </c>
    </row>
    <row r="16" spans="1:18" ht="17.25" customHeight="1" thickTop="1" thickBot="1" x14ac:dyDescent="0.65">
      <c r="A16" s="65" t="s">
        <v>25</v>
      </c>
      <c r="B16" s="66"/>
      <c r="C16" s="33">
        <f>SUM(C3:C15)/36</f>
        <v>13.5</v>
      </c>
      <c r="D16" s="33">
        <f>SUM(D3:D15)/36</f>
        <v>13.055555555555555</v>
      </c>
      <c r="E16" s="34">
        <f t="shared" ref="E16:M16" si="4">AVERAGE(E3:E15)</f>
        <v>61.583333333333336</v>
      </c>
      <c r="F16" s="33">
        <f t="shared" si="4"/>
        <v>64.833333333333329</v>
      </c>
      <c r="G16" s="33">
        <f t="shared" si="4"/>
        <v>68.92307692307692</v>
      </c>
      <c r="H16" s="33">
        <f t="shared" si="4"/>
        <v>74.92307692307692</v>
      </c>
      <c r="I16" s="33">
        <f t="shared" si="4"/>
        <v>59.153846153846153</v>
      </c>
      <c r="J16" s="33">
        <f t="shared" si="4"/>
        <v>67.92307692307692</v>
      </c>
      <c r="K16" s="33">
        <f t="shared" si="4"/>
        <v>72.692307692307693</v>
      </c>
      <c r="L16" s="35">
        <f t="shared" si="4"/>
        <v>68.307692307692307</v>
      </c>
      <c r="M16" s="35">
        <f t="shared" si="4"/>
        <v>66.589743589743591</v>
      </c>
      <c r="N16" s="36"/>
      <c r="O16" s="37"/>
      <c r="P16" s="37"/>
      <c r="Q16" s="38"/>
      <c r="R16" s="38"/>
    </row>
    <row r="17" spans="1:18" x14ac:dyDescent="0.3">
      <c r="A17" s="67" t="s">
        <v>26</v>
      </c>
      <c r="B17" s="68"/>
      <c r="C17" s="39"/>
      <c r="D17" s="39"/>
      <c r="E17" s="39"/>
      <c r="F17" s="39"/>
      <c r="G17" s="39"/>
      <c r="H17" s="39"/>
      <c r="I17" s="39"/>
      <c r="J17" s="39"/>
      <c r="K17" s="39"/>
      <c r="L17" s="40" t="s">
        <v>27</v>
      </c>
      <c r="M17" s="41" t="s">
        <v>27</v>
      </c>
    </row>
    <row r="18" spans="1:18" ht="14.25" customHeight="1" x14ac:dyDescent="0.3">
      <c r="A18" s="69" t="s">
        <v>28</v>
      </c>
      <c r="B18" s="70"/>
      <c r="L18" s="41"/>
      <c r="M18" s="41"/>
    </row>
    <row r="19" spans="1:18" ht="12.75" customHeight="1" x14ac:dyDescent="0.3">
      <c r="A19" s="71" t="s">
        <v>29</v>
      </c>
      <c r="B19" s="72"/>
      <c r="C19" s="39"/>
      <c r="D19" s="39"/>
      <c r="E19" s="39"/>
      <c r="F19" s="39"/>
      <c r="G19" s="39"/>
      <c r="H19" s="39"/>
      <c r="I19" s="39"/>
      <c r="J19" s="39"/>
      <c r="K19" s="39"/>
      <c r="L19" s="41"/>
      <c r="M19" s="41"/>
      <c r="N19" s="44"/>
    </row>
    <row r="20" spans="1:18" x14ac:dyDescent="0.3">
      <c r="A20" s="45" t="s">
        <v>30</v>
      </c>
      <c r="L20" s="41"/>
      <c r="M20" s="41"/>
    </row>
    <row r="21" spans="1:18" s="42" customFormat="1" x14ac:dyDescent="0.3">
      <c r="A21" s="47" t="s">
        <v>31</v>
      </c>
      <c r="B21" s="46"/>
      <c r="C21" s="43"/>
      <c r="D21" s="43"/>
      <c r="E21" s="43"/>
      <c r="F21" s="43"/>
      <c r="G21" s="43"/>
      <c r="H21" s="43"/>
      <c r="I21" s="43"/>
      <c r="J21" s="43"/>
      <c r="K21" s="43"/>
      <c r="L21" s="40"/>
      <c r="M21" s="41"/>
      <c r="O21" s="1"/>
      <c r="P21" s="1"/>
      <c r="Q21" s="1"/>
      <c r="R21" s="1"/>
    </row>
    <row r="22" spans="1:18" s="42" customFormat="1" x14ac:dyDescent="0.3">
      <c r="A22" s="48" t="s">
        <v>32</v>
      </c>
      <c r="B22" s="46"/>
      <c r="C22" s="43"/>
      <c r="D22" s="43" t="s">
        <v>27</v>
      </c>
      <c r="E22" s="43"/>
      <c r="F22" s="43"/>
      <c r="G22" s="43"/>
      <c r="H22" s="43"/>
      <c r="I22" s="43"/>
      <c r="J22" s="43"/>
      <c r="K22" s="43"/>
      <c r="L22" s="40"/>
      <c r="M22" s="41"/>
      <c r="O22" s="1"/>
      <c r="P22" s="1"/>
      <c r="Q22" s="1"/>
      <c r="R22" s="1"/>
    </row>
  </sheetData>
  <mergeCells count="5">
    <mergeCell ref="A1:N1"/>
    <mergeCell ref="A16:B16"/>
    <mergeCell ref="A17:B17"/>
    <mergeCell ref="A18:B18"/>
    <mergeCell ref="A19:B19"/>
  </mergeCells>
  <printOptions horizontalCentered="1" verticalCentered="1"/>
  <pageMargins left="0" right="0" top="0" bottom="0" header="0" footer="0"/>
  <pageSetup paperSize="5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BDBA-769C-4F4C-9B58-6C957D9D0C5E}">
  <dimension ref="A1:R24"/>
  <sheetViews>
    <sheetView zoomScale="115" zoomScaleNormal="115" workbookViewId="0">
      <pane ySplit="2" topLeftCell="A3" activePane="bottomLeft" state="frozen"/>
      <selection pane="bottomLeft" activeCell="A7" sqref="A7"/>
    </sheetView>
  </sheetViews>
  <sheetFormatPr defaultColWidth="8.88671875" defaultRowHeight="13.8" x14ac:dyDescent="0.3"/>
  <cols>
    <col min="1" max="1" width="22.6640625" style="56" customWidth="1"/>
    <col min="2" max="2" width="56.109375" style="46" customWidth="1"/>
    <col min="3" max="3" width="8.6640625" style="43" hidden="1" customWidth="1"/>
    <col min="4" max="5" width="9.6640625" style="43" hidden="1" customWidth="1"/>
    <col min="6" max="11" width="9.6640625" style="43" customWidth="1"/>
    <col min="12" max="13" width="8.88671875" style="40" customWidth="1"/>
    <col min="14" max="14" width="21.88671875" style="42" customWidth="1"/>
    <col min="15" max="15" width="6.109375" style="1" hidden="1" customWidth="1"/>
    <col min="16" max="16" width="7.109375" style="1" hidden="1" customWidth="1"/>
    <col min="17" max="17" width="6.88671875" style="1" hidden="1" customWidth="1"/>
    <col min="18" max="18" width="7.33203125" style="1" hidden="1" customWidth="1"/>
    <col min="19" max="16384" width="8.88671875" style="1"/>
  </cols>
  <sheetData>
    <row r="1" spans="1:18" ht="21.6" thickBot="1" x14ac:dyDescent="0.45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8" ht="23.25" customHeight="1" thickBot="1" x14ac:dyDescent="0.35">
      <c r="A2" s="2" t="s">
        <v>0</v>
      </c>
      <c r="B2" s="3" t="s">
        <v>1</v>
      </c>
      <c r="C2" s="4">
        <v>45497</v>
      </c>
      <c r="D2" s="4">
        <v>45528</v>
      </c>
      <c r="E2" s="4">
        <v>45559</v>
      </c>
      <c r="F2" s="4">
        <v>45566</v>
      </c>
      <c r="G2" s="4">
        <v>45597</v>
      </c>
      <c r="H2" s="4">
        <v>45627</v>
      </c>
      <c r="I2" s="4">
        <v>45682</v>
      </c>
      <c r="J2" s="4">
        <v>45689</v>
      </c>
      <c r="K2" s="4">
        <v>45741</v>
      </c>
      <c r="L2" s="5" t="s">
        <v>2</v>
      </c>
      <c r="M2" s="6" t="s">
        <v>3</v>
      </c>
      <c r="N2" s="7" t="s">
        <v>4</v>
      </c>
      <c r="O2" s="8" t="s">
        <v>5</v>
      </c>
      <c r="P2" s="9" t="s">
        <v>6</v>
      </c>
      <c r="Q2" s="9" t="s">
        <v>5</v>
      </c>
      <c r="R2" s="10" t="s">
        <v>6</v>
      </c>
    </row>
    <row r="3" spans="1:18" ht="24" customHeight="1" x14ac:dyDescent="0.3">
      <c r="A3" s="63">
        <v>1</v>
      </c>
      <c r="B3" s="49" t="s">
        <v>34</v>
      </c>
      <c r="C3" s="14">
        <v>80</v>
      </c>
      <c r="D3" s="14">
        <v>94</v>
      </c>
      <c r="E3" s="14">
        <v>48</v>
      </c>
      <c r="F3" s="14">
        <v>85</v>
      </c>
      <c r="G3" s="14">
        <v>61</v>
      </c>
      <c r="H3" s="14">
        <v>79</v>
      </c>
      <c r="I3" s="14">
        <v>40</v>
      </c>
      <c r="J3" s="14">
        <v>58</v>
      </c>
      <c r="K3" s="14">
        <v>73</v>
      </c>
      <c r="L3" s="58">
        <f>AVERAGE(F3:K3)</f>
        <v>66</v>
      </c>
      <c r="M3" s="15">
        <f>AVERAGE(I3:K3)</f>
        <v>57</v>
      </c>
      <c r="N3" s="21"/>
      <c r="O3" s="17"/>
      <c r="P3" s="17"/>
      <c r="Q3" s="17"/>
      <c r="R3" s="17"/>
    </row>
    <row r="4" spans="1:18" ht="24" customHeight="1" x14ac:dyDescent="0.3">
      <c r="A4" s="63">
        <v>2</v>
      </c>
      <c r="B4" s="49" t="s">
        <v>35</v>
      </c>
      <c r="C4" s="26"/>
      <c r="D4" s="26"/>
      <c r="E4" s="14">
        <v>64</v>
      </c>
      <c r="F4" s="14">
        <v>76</v>
      </c>
      <c r="G4" s="14">
        <v>88</v>
      </c>
      <c r="H4" s="14">
        <v>68</v>
      </c>
      <c r="I4" s="14">
        <v>97</v>
      </c>
      <c r="J4" s="14">
        <v>55</v>
      </c>
      <c r="K4" s="14">
        <v>64</v>
      </c>
      <c r="L4" s="61">
        <f t="shared" ref="L4" si="0">AVERAGE(F4:K4)</f>
        <v>74.666666666666671</v>
      </c>
      <c r="M4" s="18">
        <f t="shared" ref="M4" si="1">AVERAGE(I4:K4)</f>
        <v>72</v>
      </c>
      <c r="N4" s="21"/>
      <c r="O4" s="17"/>
      <c r="P4" s="17"/>
      <c r="Q4" s="17"/>
      <c r="R4" s="17"/>
    </row>
    <row r="5" spans="1:18" ht="24" customHeight="1" x14ac:dyDescent="0.3">
      <c r="A5" s="63">
        <v>3</v>
      </c>
      <c r="B5" s="50" t="s">
        <v>36</v>
      </c>
      <c r="C5" s="26"/>
      <c r="D5" s="26"/>
      <c r="E5" s="14">
        <v>46</v>
      </c>
      <c r="F5" s="14">
        <v>46</v>
      </c>
      <c r="G5" s="14">
        <v>49</v>
      </c>
      <c r="H5" s="14">
        <v>52</v>
      </c>
      <c r="I5" s="14">
        <v>54</v>
      </c>
      <c r="J5" s="14">
        <v>56</v>
      </c>
      <c r="K5" s="14">
        <v>58</v>
      </c>
      <c r="L5" s="12">
        <f>AVERAGE(F5:K5)</f>
        <v>52.5</v>
      </c>
      <c r="M5" s="15">
        <f>AVERAGE(I5:K5)</f>
        <v>56</v>
      </c>
      <c r="N5" s="21"/>
      <c r="O5" s="17"/>
      <c r="P5" s="17"/>
      <c r="Q5" s="17"/>
      <c r="R5" s="17"/>
    </row>
    <row r="6" spans="1:18" ht="24" customHeight="1" x14ac:dyDescent="0.3">
      <c r="A6" s="63">
        <v>4</v>
      </c>
      <c r="B6" s="50" t="s">
        <v>37</v>
      </c>
      <c r="C6" s="26"/>
      <c r="D6" s="26"/>
      <c r="E6" s="14">
        <v>60</v>
      </c>
      <c r="F6" s="14">
        <v>59</v>
      </c>
      <c r="G6" s="14">
        <v>75</v>
      </c>
      <c r="H6" s="14">
        <v>76</v>
      </c>
      <c r="I6" s="14">
        <v>49</v>
      </c>
      <c r="J6" s="14">
        <v>36</v>
      </c>
      <c r="K6" s="14">
        <v>72</v>
      </c>
      <c r="L6" s="12">
        <f>AVERAGE(F6:K6)</f>
        <v>61.166666666666664</v>
      </c>
      <c r="M6" s="15">
        <f>AVERAGE(I6:K6)</f>
        <v>52.333333333333336</v>
      </c>
      <c r="N6" s="21"/>
      <c r="O6" s="17"/>
      <c r="P6" s="17"/>
      <c r="Q6" s="17"/>
      <c r="R6" s="17"/>
    </row>
    <row r="7" spans="1:18" ht="24" customHeight="1" x14ac:dyDescent="0.3">
      <c r="A7" s="63">
        <v>5</v>
      </c>
      <c r="B7" s="50" t="s">
        <v>38</v>
      </c>
      <c r="C7" s="27">
        <v>55</v>
      </c>
      <c r="D7" s="27">
        <v>51</v>
      </c>
      <c r="E7" s="14">
        <v>32</v>
      </c>
      <c r="F7" s="14">
        <v>36</v>
      </c>
      <c r="G7" s="14">
        <v>31</v>
      </c>
      <c r="H7" s="14">
        <v>39</v>
      </c>
      <c r="I7" s="14">
        <v>0</v>
      </c>
      <c r="J7" s="14">
        <v>46</v>
      </c>
      <c r="K7" s="14">
        <v>49</v>
      </c>
      <c r="L7" s="28">
        <f>AVERAGE(F7:K7)</f>
        <v>33.5</v>
      </c>
      <c r="M7" s="15">
        <f>AVERAGE(I7:K7)</f>
        <v>31.666666666666668</v>
      </c>
      <c r="N7" s="21"/>
      <c r="O7" s="16">
        <v>45274</v>
      </c>
      <c r="P7" s="17">
        <v>100</v>
      </c>
      <c r="Q7" s="16">
        <v>44937</v>
      </c>
      <c r="R7" s="17">
        <v>50</v>
      </c>
    </row>
    <row r="8" spans="1:18" ht="24" customHeight="1" x14ac:dyDescent="0.3">
      <c r="A8" s="63">
        <v>6</v>
      </c>
      <c r="B8" s="55" t="s">
        <v>55</v>
      </c>
      <c r="C8" s="11"/>
      <c r="D8" s="11"/>
      <c r="E8" s="11"/>
      <c r="F8" s="23"/>
      <c r="G8" s="11">
        <v>100</v>
      </c>
      <c r="H8" s="11">
        <v>93</v>
      </c>
      <c r="I8" s="11">
        <v>63</v>
      </c>
      <c r="J8" s="11">
        <v>79</v>
      </c>
      <c r="K8" s="11">
        <v>80</v>
      </c>
      <c r="L8" s="61">
        <f>AVERAGE(F8:K8)</f>
        <v>83</v>
      </c>
      <c r="M8" s="18">
        <f>AVERAGE(I8:K8)</f>
        <v>74</v>
      </c>
      <c r="N8" s="21"/>
      <c r="O8" s="17"/>
      <c r="P8" s="17"/>
      <c r="Q8" s="17"/>
      <c r="R8" s="17"/>
    </row>
    <row r="9" spans="1:18" ht="24" customHeight="1" x14ac:dyDescent="0.3">
      <c r="A9" s="63">
        <v>7</v>
      </c>
      <c r="B9" s="50" t="s">
        <v>44</v>
      </c>
      <c r="C9" s="11"/>
      <c r="D9" s="11"/>
      <c r="E9" s="11"/>
      <c r="F9" s="23"/>
      <c r="G9" s="54"/>
      <c r="H9" s="54"/>
      <c r="I9" s="54"/>
      <c r="J9" s="57"/>
      <c r="K9" s="32"/>
      <c r="L9" s="24"/>
      <c r="M9" s="24"/>
      <c r="N9" s="25"/>
      <c r="O9" s="17"/>
      <c r="P9" s="17"/>
      <c r="Q9" s="17"/>
      <c r="R9" s="17"/>
    </row>
    <row r="10" spans="1:18" ht="24" customHeight="1" x14ac:dyDescent="0.3">
      <c r="A10" s="63">
        <v>8</v>
      </c>
      <c r="B10" s="49" t="s">
        <v>45</v>
      </c>
      <c r="C10" s="11">
        <v>70</v>
      </c>
      <c r="D10" s="11">
        <v>76</v>
      </c>
      <c r="E10" s="11">
        <v>25</v>
      </c>
      <c r="F10" s="11">
        <v>55</v>
      </c>
      <c r="G10" s="11">
        <v>80</v>
      </c>
      <c r="H10" s="11">
        <v>91</v>
      </c>
      <c r="I10" s="11">
        <v>51</v>
      </c>
      <c r="J10" s="22">
        <v>83</v>
      </c>
      <c r="K10" s="22">
        <v>62</v>
      </c>
      <c r="L10" s="15">
        <f>AVERAGE(F10:K10)</f>
        <v>70.333333333333329</v>
      </c>
      <c r="M10" s="60">
        <f>AVERAGE(I10:K10)</f>
        <v>65.333333333333329</v>
      </c>
      <c r="N10" s="21"/>
      <c r="O10" s="17" t="s">
        <v>19</v>
      </c>
      <c r="P10" s="17">
        <v>100</v>
      </c>
      <c r="Q10" s="17" t="s">
        <v>20</v>
      </c>
      <c r="R10" s="17">
        <v>60</v>
      </c>
    </row>
    <row r="11" spans="1:18" ht="24" customHeight="1" x14ac:dyDescent="0.3">
      <c r="A11" s="20">
        <v>9</v>
      </c>
      <c r="B11" s="51" t="s">
        <v>47</v>
      </c>
      <c r="C11" s="11"/>
      <c r="D11" s="11"/>
      <c r="E11" s="11">
        <v>99</v>
      </c>
      <c r="F11" s="11">
        <v>96</v>
      </c>
      <c r="G11" s="11">
        <v>81</v>
      </c>
      <c r="H11" s="11">
        <v>91</v>
      </c>
      <c r="I11" s="11">
        <v>92</v>
      </c>
      <c r="J11" s="11">
        <v>85</v>
      </c>
      <c r="K11" s="11">
        <v>93</v>
      </c>
      <c r="L11" s="62">
        <f>AVERAGE(F11:K11)</f>
        <v>89.666666666666671</v>
      </c>
      <c r="M11" s="60">
        <f>AVERAGE(I11:K11)</f>
        <v>90</v>
      </c>
      <c r="N11" s="21"/>
      <c r="O11" s="16"/>
      <c r="P11" s="17"/>
      <c r="Q11" s="17"/>
      <c r="R11" s="17"/>
    </row>
    <row r="12" spans="1:18" ht="24" customHeight="1" x14ac:dyDescent="0.3">
      <c r="A12" s="63">
        <v>10</v>
      </c>
      <c r="B12" s="50" t="s">
        <v>49</v>
      </c>
      <c r="C12" s="11">
        <v>92</v>
      </c>
      <c r="D12" s="11">
        <v>92</v>
      </c>
      <c r="E12" s="11">
        <v>97</v>
      </c>
      <c r="F12" s="11">
        <v>85</v>
      </c>
      <c r="G12" s="11">
        <v>87</v>
      </c>
      <c r="H12" s="11">
        <v>79</v>
      </c>
      <c r="I12" s="11">
        <v>84</v>
      </c>
      <c r="J12" s="11">
        <v>99</v>
      </c>
      <c r="K12" s="11">
        <v>91</v>
      </c>
      <c r="L12" s="60">
        <f>AVERAGE(F12:K12)</f>
        <v>87.5</v>
      </c>
      <c r="M12" s="60">
        <f>AVERAGE(I12:K12)</f>
        <v>91.333333333333329</v>
      </c>
      <c r="N12" s="21"/>
      <c r="O12" s="16">
        <v>45266</v>
      </c>
      <c r="P12" s="17">
        <v>100</v>
      </c>
      <c r="Q12" s="16">
        <v>44929</v>
      </c>
      <c r="R12" s="17">
        <v>0</v>
      </c>
    </row>
    <row r="13" spans="1:18" ht="24" hidden="1" customHeight="1" x14ac:dyDescent="0.3">
      <c r="A13" s="63" t="s">
        <v>21</v>
      </c>
      <c r="B13" s="50" t="s">
        <v>50</v>
      </c>
      <c r="C13" s="11"/>
      <c r="D13" s="11"/>
      <c r="E13" s="11">
        <v>61</v>
      </c>
      <c r="F13" s="11">
        <v>73</v>
      </c>
      <c r="G13" s="54"/>
      <c r="H13" s="54"/>
      <c r="I13" s="54"/>
      <c r="J13" s="54"/>
      <c r="K13" s="23"/>
      <c r="L13" s="19"/>
      <c r="M13" s="19"/>
      <c r="N13" s="21"/>
      <c r="O13" s="16"/>
      <c r="P13" s="17"/>
      <c r="Q13" s="16"/>
      <c r="R13" s="17"/>
    </row>
    <row r="14" spans="1:18" ht="24" hidden="1" customHeight="1" x14ac:dyDescent="0.3">
      <c r="A14" s="63" t="s">
        <v>21</v>
      </c>
      <c r="B14" s="52" t="s">
        <v>51</v>
      </c>
      <c r="C14" s="14">
        <v>68</v>
      </c>
      <c r="D14" s="14">
        <v>49</v>
      </c>
      <c r="E14" s="14">
        <v>38</v>
      </c>
      <c r="F14" s="14">
        <v>66</v>
      </c>
      <c r="G14" s="53"/>
      <c r="H14" s="53"/>
      <c r="I14" s="53"/>
      <c r="J14" s="53"/>
      <c r="K14" s="26"/>
      <c r="L14" s="30"/>
      <c r="M14" s="30"/>
      <c r="N14" s="21"/>
      <c r="O14" s="17" t="s">
        <v>22</v>
      </c>
      <c r="P14" s="17">
        <v>75</v>
      </c>
      <c r="Q14" s="17" t="s">
        <v>23</v>
      </c>
      <c r="R14" s="17">
        <v>25</v>
      </c>
    </row>
    <row r="15" spans="1:18" ht="24" hidden="1" customHeight="1" x14ac:dyDescent="0.3">
      <c r="A15" s="63" t="s">
        <v>24</v>
      </c>
      <c r="B15" s="50"/>
      <c r="C15" s="26"/>
      <c r="D15" s="26"/>
      <c r="E15" s="26"/>
      <c r="F15" s="26"/>
      <c r="G15" s="53"/>
      <c r="H15" s="53"/>
      <c r="I15" s="53"/>
      <c r="J15" s="53"/>
      <c r="K15" s="26"/>
      <c r="L15" s="24"/>
      <c r="M15" s="24"/>
      <c r="N15" s="21"/>
      <c r="O15" s="17"/>
      <c r="P15" s="17"/>
      <c r="Q15" s="17"/>
      <c r="R15" s="17"/>
    </row>
    <row r="16" spans="1:18" ht="24" customHeight="1" x14ac:dyDescent="0.3">
      <c r="A16" s="63">
        <v>11</v>
      </c>
      <c r="B16" s="49" t="s">
        <v>52</v>
      </c>
      <c r="C16" s="14"/>
      <c r="D16" s="14"/>
      <c r="E16" s="14">
        <v>63</v>
      </c>
      <c r="F16" s="14">
        <v>67</v>
      </c>
      <c r="G16" s="14">
        <v>68</v>
      </c>
      <c r="H16" s="14">
        <v>32</v>
      </c>
      <c r="I16" s="14">
        <v>56</v>
      </c>
      <c r="J16" s="14">
        <v>73</v>
      </c>
      <c r="K16" s="14">
        <v>20</v>
      </c>
      <c r="L16" s="12">
        <f>AVERAGE(F16:K16)</f>
        <v>52.666666666666664</v>
      </c>
      <c r="M16" s="15">
        <f>AVERAGE(I16:K16)</f>
        <v>49.666666666666664</v>
      </c>
      <c r="N16" s="21"/>
      <c r="O16" s="17"/>
      <c r="P16" s="17"/>
      <c r="Q16" s="17"/>
      <c r="R16" s="17"/>
    </row>
    <row r="17" spans="1:18" ht="24" customHeight="1" thickBot="1" x14ac:dyDescent="0.35">
      <c r="A17" s="63">
        <v>12</v>
      </c>
      <c r="B17" s="49" t="s">
        <v>54</v>
      </c>
      <c r="C17" s="14">
        <v>76</v>
      </c>
      <c r="D17" s="14">
        <v>83</v>
      </c>
      <c r="E17" s="14">
        <v>70</v>
      </c>
      <c r="F17" s="14">
        <v>99</v>
      </c>
      <c r="G17" s="14">
        <v>99</v>
      </c>
      <c r="H17" s="14">
        <v>100</v>
      </c>
      <c r="I17" s="14">
        <v>86</v>
      </c>
      <c r="J17" s="14">
        <v>99</v>
      </c>
      <c r="K17" s="14">
        <v>89</v>
      </c>
      <c r="L17" s="61">
        <f>AVERAGE(F17:K17)</f>
        <v>95.333333333333329</v>
      </c>
      <c r="M17" s="60">
        <f>AVERAGE(I17:K17)</f>
        <v>91.333333333333329</v>
      </c>
      <c r="N17" s="21"/>
      <c r="O17" s="16">
        <v>45268</v>
      </c>
      <c r="P17" s="17">
        <v>0</v>
      </c>
      <c r="Q17" s="16">
        <v>44938</v>
      </c>
      <c r="R17" s="17">
        <v>50</v>
      </c>
    </row>
    <row r="18" spans="1:18" ht="17.25" customHeight="1" thickTop="1" thickBot="1" x14ac:dyDescent="0.65">
      <c r="A18" s="65" t="s">
        <v>25</v>
      </c>
      <c r="B18" s="66"/>
      <c r="C18" s="33">
        <f>SUM(C3:C17)/36</f>
        <v>12.25</v>
      </c>
      <c r="D18" s="33">
        <f>SUM(D3:D17)/36</f>
        <v>12.361111111111111</v>
      </c>
      <c r="E18" s="34">
        <f t="shared" ref="E18:M18" si="2">AVERAGE(E3:E17)</f>
        <v>58.583333333333336</v>
      </c>
      <c r="F18" s="33">
        <f t="shared" si="2"/>
        <v>70.25</v>
      </c>
      <c r="G18" s="33">
        <f t="shared" si="2"/>
        <v>74.454545454545453</v>
      </c>
      <c r="H18" s="33">
        <f t="shared" si="2"/>
        <v>72.727272727272734</v>
      </c>
      <c r="I18" s="33">
        <f t="shared" si="2"/>
        <v>61.090909090909093</v>
      </c>
      <c r="J18" s="33">
        <f t="shared" si="2"/>
        <v>69.909090909090907</v>
      </c>
      <c r="K18" s="33">
        <f t="shared" si="2"/>
        <v>68.272727272727266</v>
      </c>
      <c r="L18" s="35">
        <f t="shared" si="2"/>
        <v>69.666666666666671</v>
      </c>
      <c r="M18" s="35">
        <f t="shared" si="2"/>
        <v>66.424242424242422</v>
      </c>
      <c r="N18" s="36"/>
      <c r="O18" s="37"/>
      <c r="P18" s="37"/>
      <c r="Q18" s="38"/>
      <c r="R18" s="38"/>
    </row>
    <row r="19" spans="1:18" x14ac:dyDescent="0.3">
      <c r="A19" s="67" t="s">
        <v>26</v>
      </c>
      <c r="B19" s="68"/>
      <c r="C19" s="39"/>
      <c r="D19" s="39"/>
      <c r="E19" s="39"/>
      <c r="F19" s="39"/>
      <c r="G19" s="39"/>
      <c r="H19" s="39"/>
      <c r="I19" s="39"/>
      <c r="J19" s="39"/>
      <c r="K19" s="39"/>
      <c r="L19" s="40" t="s">
        <v>27</v>
      </c>
      <c r="M19" s="41" t="s">
        <v>27</v>
      </c>
    </row>
    <row r="20" spans="1:18" ht="14.25" customHeight="1" x14ac:dyDescent="0.3">
      <c r="A20" s="69" t="s">
        <v>28</v>
      </c>
      <c r="B20" s="70"/>
      <c r="L20" s="41"/>
      <c r="M20" s="41"/>
    </row>
    <row r="21" spans="1:18" ht="12.75" customHeight="1" x14ac:dyDescent="0.3">
      <c r="A21" s="71" t="s">
        <v>29</v>
      </c>
      <c r="B21" s="72"/>
      <c r="C21" s="39"/>
      <c r="D21" s="39"/>
      <c r="E21" s="39"/>
      <c r="F21" s="39"/>
      <c r="G21" s="39"/>
      <c r="H21" s="39"/>
      <c r="I21" s="39"/>
      <c r="J21" s="39"/>
      <c r="K21" s="39"/>
      <c r="L21" s="41"/>
      <c r="M21" s="41"/>
      <c r="N21" s="44"/>
    </row>
    <row r="22" spans="1:18" x14ac:dyDescent="0.3">
      <c r="A22" s="45" t="s">
        <v>30</v>
      </c>
      <c r="L22" s="41"/>
      <c r="M22" s="41"/>
    </row>
    <row r="23" spans="1:18" s="42" customFormat="1" x14ac:dyDescent="0.3">
      <c r="A23" s="47" t="s">
        <v>31</v>
      </c>
      <c r="B23" s="46"/>
      <c r="C23" s="43"/>
      <c r="D23" s="43"/>
      <c r="E23" s="43"/>
      <c r="F23" s="43"/>
      <c r="G23" s="43"/>
      <c r="H23" s="43"/>
      <c r="I23" s="43"/>
      <c r="J23" s="43"/>
      <c r="K23" s="43"/>
      <c r="L23" s="40"/>
      <c r="M23" s="41"/>
      <c r="O23" s="1"/>
      <c r="P23" s="1"/>
      <c r="Q23" s="1"/>
      <c r="R23" s="1"/>
    </row>
    <row r="24" spans="1:18" s="42" customFormat="1" x14ac:dyDescent="0.3">
      <c r="A24" s="48" t="s">
        <v>32</v>
      </c>
      <c r="B24" s="46"/>
      <c r="C24" s="43"/>
      <c r="D24" s="43" t="s">
        <v>27</v>
      </c>
      <c r="E24" s="43"/>
      <c r="F24" s="43"/>
      <c r="G24" s="43"/>
      <c r="H24" s="43"/>
      <c r="I24" s="43"/>
      <c r="J24" s="43"/>
      <c r="K24" s="43"/>
      <c r="L24" s="40"/>
      <c r="M24" s="41"/>
      <c r="O24" s="1"/>
      <c r="P24" s="1"/>
      <c r="Q24" s="1"/>
      <c r="R24" s="1"/>
    </row>
  </sheetData>
  <mergeCells count="5">
    <mergeCell ref="A1:N1"/>
    <mergeCell ref="A18:B18"/>
    <mergeCell ref="A19:B19"/>
    <mergeCell ref="A20:B20"/>
    <mergeCell ref="A21:B21"/>
  </mergeCells>
  <printOptions horizontalCentered="1" verticalCentered="1"/>
  <pageMargins left="0" right="0" top="0" bottom="0" header="0" footer="0"/>
  <pageSetup paperSize="5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68E9-AFE8-4EC7-8476-210A04157B5E}">
  <dimension ref="A1:R19"/>
  <sheetViews>
    <sheetView zoomScale="115" zoomScaleNormal="115" workbookViewId="0">
      <pane ySplit="2" topLeftCell="A3" activePane="bottomLeft" state="frozen"/>
      <selection pane="bottomLeft" activeCell="H14" sqref="H14"/>
    </sheetView>
  </sheetViews>
  <sheetFormatPr defaultColWidth="8.88671875" defaultRowHeight="13.8" x14ac:dyDescent="0.3"/>
  <cols>
    <col min="1" max="1" width="22.6640625" style="56" customWidth="1"/>
    <col min="2" max="2" width="56.109375" style="46" customWidth="1"/>
    <col min="3" max="3" width="8.6640625" style="43" hidden="1" customWidth="1"/>
    <col min="4" max="5" width="9.6640625" style="43" hidden="1" customWidth="1"/>
    <col min="6" max="11" width="9.6640625" style="43" customWidth="1"/>
    <col min="12" max="13" width="8.88671875" style="40" customWidth="1"/>
    <col min="14" max="14" width="21.88671875" style="42" customWidth="1"/>
    <col min="15" max="15" width="6.109375" style="1" hidden="1" customWidth="1"/>
    <col min="16" max="16" width="7.109375" style="1" hidden="1" customWidth="1"/>
    <col min="17" max="17" width="6.88671875" style="1" hidden="1" customWidth="1"/>
    <col min="18" max="18" width="7.33203125" style="1" hidden="1" customWidth="1"/>
    <col min="19" max="16384" width="8.88671875" style="1"/>
  </cols>
  <sheetData>
    <row r="1" spans="1:18" ht="21.6" thickBot="1" x14ac:dyDescent="0.45">
      <c r="A1" s="64" t="s">
        <v>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8" ht="23.25" customHeight="1" thickBot="1" x14ac:dyDescent="0.35">
      <c r="A2" s="2" t="s">
        <v>0</v>
      </c>
      <c r="B2" s="3" t="s">
        <v>1</v>
      </c>
      <c r="C2" s="4">
        <v>45497</v>
      </c>
      <c r="D2" s="4">
        <v>45528</v>
      </c>
      <c r="E2" s="4">
        <v>45559</v>
      </c>
      <c r="F2" s="4">
        <v>45566</v>
      </c>
      <c r="G2" s="4">
        <v>45597</v>
      </c>
      <c r="H2" s="4">
        <v>45627</v>
      </c>
      <c r="I2" s="4">
        <v>45682</v>
      </c>
      <c r="J2" s="4">
        <v>45689</v>
      </c>
      <c r="K2" s="4">
        <v>45741</v>
      </c>
      <c r="L2" s="5" t="s">
        <v>2</v>
      </c>
      <c r="M2" s="6" t="s">
        <v>3</v>
      </c>
      <c r="N2" s="7" t="s">
        <v>4</v>
      </c>
      <c r="O2" s="8" t="s">
        <v>5</v>
      </c>
      <c r="P2" s="9" t="s">
        <v>6</v>
      </c>
      <c r="Q2" s="9" t="s">
        <v>5</v>
      </c>
      <c r="R2" s="10" t="s">
        <v>6</v>
      </c>
    </row>
    <row r="3" spans="1:18" ht="24" customHeight="1" x14ac:dyDescent="0.3">
      <c r="A3" s="63">
        <v>1</v>
      </c>
      <c r="B3" s="49" t="s">
        <v>34</v>
      </c>
      <c r="C3" s="14">
        <v>80</v>
      </c>
      <c r="D3" s="14">
        <v>94</v>
      </c>
      <c r="E3" s="14">
        <v>48</v>
      </c>
      <c r="F3" s="14">
        <v>85</v>
      </c>
      <c r="G3" s="14">
        <v>61</v>
      </c>
      <c r="H3" s="14">
        <v>79</v>
      </c>
      <c r="I3" s="14">
        <v>40</v>
      </c>
      <c r="J3" s="14">
        <v>58</v>
      </c>
      <c r="K3" s="14">
        <v>73</v>
      </c>
      <c r="L3" s="58">
        <f>AVERAGE(F3:K3)</f>
        <v>66</v>
      </c>
      <c r="M3" s="15">
        <f>AVERAGE(I3:K3)</f>
        <v>57</v>
      </c>
      <c r="N3" s="21"/>
      <c r="O3" s="17"/>
      <c r="P3" s="17"/>
      <c r="Q3" s="17"/>
      <c r="R3" s="17"/>
    </row>
    <row r="4" spans="1:18" ht="24" customHeight="1" x14ac:dyDescent="0.3">
      <c r="A4" s="63">
        <v>2</v>
      </c>
      <c r="B4" s="49" t="s">
        <v>35</v>
      </c>
      <c r="C4" s="26"/>
      <c r="D4" s="26"/>
      <c r="E4" s="14">
        <v>64</v>
      </c>
      <c r="F4" s="14">
        <v>76</v>
      </c>
      <c r="G4" s="14">
        <v>88</v>
      </c>
      <c r="H4" s="14">
        <v>68</v>
      </c>
      <c r="I4" s="14">
        <v>97</v>
      </c>
      <c r="J4" s="14">
        <v>55</v>
      </c>
      <c r="K4" s="14">
        <v>64</v>
      </c>
      <c r="L4" s="61">
        <f t="shared" ref="L4" si="0">AVERAGE(F4:K4)</f>
        <v>74.666666666666671</v>
      </c>
      <c r="M4" s="18">
        <f t="shared" ref="M4" si="1">AVERAGE(I4:K4)</f>
        <v>72</v>
      </c>
      <c r="N4" s="21"/>
      <c r="O4" s="17"/>
      <c r="P4" s="17"/>
      <c r="Q4" s="17"/>
      <c r="R4" s="17"/>
    </row>
    <row r="5" spans="1:18" ht="24" customHeight="1" x14ac:dyDescent="0.3">
      <c r="A5" s="63">
        <v>3</v>
      </c>
      <c r="B5" s="50" t="s">
        <v>36</v>
      </c>
      <c r="C5" s="26"/>
      <c r="D5" s="26"/>
      <c r="E5" s="14">
        <v>46</v>
      </c>
      <c r="F5" s="14">
        <v>46</v>
      </c>
      <c r="G5" s="14">
        <v>49</v>
      </c>
      <c r="H5" s="14">
        <v>52</v>
      </c>
      <c r="I5" s="14">
        <v>54</v>
      </c>
      <c r="J5" s="14">
        <v>56</v>
      </c>
      <c r="K5" s="14">
        <v>58</v>
      </c>
      <c r="L5" s="12">
        <f t="shared" ref="L5:L12" si="2">AVERAGE(F5:K5)</f>
        <v>52.5</v>
      </c>
      <c r="M5" s="15">
        <f t="shared" ref="M5:M12" si="3">AVERAGE(I5:K5)</f>
        <v>56</v>
      </c>
      <c r="N5" s="21"/>
      <c r="O5" s="17"/>
      <c r="P5" s="17"/>
      <c r="Q5" s="17"/>
      <c r="R5" s="17"/>
    </row>
    <row r="6" spans="1:18" ht="24" customHeight="1" x14ac:dyDescent="0.3">
      <c r="A6" s="63">
        <v>4</v>
      </c>
      <c r="B6" s="50" t="s">
        <v>37</v>
      </c>
      <c r="C6" s="26"/>
      <c r="D6" s="26"/>
      <c r="E6" s="14">
        <v>60</v>
      </c>
      <c r="F6" s="14">
        <v>59</v>
      </c>
      <c r="G6" s="14">
        <v>75</v>
      </c>
      <c r="H6" s="14">
        <v>76</v>
      </c>
      <c r="I6" s="14">
        <v>49</v>
      </c>
      <c r="J6" s="14">
        <v>36</v>
      </c>
      <c r="K6" s="14">
        <v>72</v>
      </c>
      <c r="L6" s="12">
        <f t="shared" si="2"/>
        <v>61.166666666666664</v>
      </c>
      <c r="M6" s="15">
        <f t="shared" si="3"/>
        <v>52.333333333333336</v>
      </c>
      <c r="N6" s="21"/>
      <c r="O6" s="17"/>
      <c r="P6" s="17"/>
      <c r="Q6" s="17"/>
      <c r="R6" s="17"/>
    </row>
    <row r="7" spans="1:18" ht="24" customHeight="1" x14ac:dyDescent="0.3">
      <c r="A7" s="63">
        <v>5</v>
      </c>
      <c r="B7" s="50" t="s">
        <v>38</v>
      </c>
      <c r="C7" s="27">
        <v>55</v>
      </c>
      <c r="D7" s="27">
        <v>51</v>
      </c>
      <c r="E7" s="14">
        <v>32</v>
      </c>
      <c r="F7" s="14">
        <v>36</v>
      </c>
      <c r="G7" s="14">
        <v>31</v>
      </c>
      <c r="H7" s="14">
        <v>39</v>
      </c>
      <c r="I7" s="14">
        <v>0</v>
      </c>
      <c r="J7" s="14">
        <v>46</v>
      </c>
      <c r="K7" s="14">
        <v>49</v>
      </c>
      <c r="L7" s="28">
        <f t="shared" si="2"/>
        <v>33.5</v>
      </c>
      <c r="M7" s="15">
        <f t="shared" si="3"/>
        <v>31.666666666666668</v>
      </c>
      <c r="N7" s="21"/>
      <c r="O7" s="16">
        <v>45274</v>
      </c>
      <c r="P7" s="17">
        <v>100</v>
      </c>
      <c r="Q7" s="16">
        <v>44937</v>
      </c>
      <c r="R7" s="17">
        <v>50</v>
      </c>
    </row>
    <row r="8" spans="1:18" ht="24" customHeight="1" x14ac:dyDescent="0.3">
      <c r="A8" s="63">
        <v>6</v>
      </c>
      <c r="B8" s="55" t="s">
        <v>55</v>
      </c>
      <c r="C8" s="11"/>
      <c r="D8" s="11"/>
      <c r="E8" s="11"/>
      <c r="F8" s="23"/>
      <c r="G8" s="11">
        <v>100</v>
      </c>
      <c r="H8" s="11">
        <v>93</v>
      </c>
      <c r="I8" s="11">
        <v>63</v>
      </c>
      <c r="J8" s="11">
        <v>79</v>
      </c>
      <c r="K8" s="11">
        <v>80</v>
      </c>
      <c r="L8" s="61">
        <f t="shared" si="2"/>
        <v>83</v>
      </c>
      <c r="M8" s="18">
        <f t="shared" si="3"/>
        <v>74</v>
      </c>
      <c r="N8" s="21"/>
      <c r="O8" s="17"/>
      <c r="P8" s="17"/>
      <c r="Q8" s="17"/>
      <c r="R8" s="17"/>
    </row>
    <row r="9" spans="1:18" ht="24" customHeight="1" x14ac:dyDescent="0.3">
      <c r="A9" s="63">
        <v>7</v>
      </c>
      <c r="B9" s="49" t="s">
        <v>45</v>
      </c>
      <c r="C9" s="11">
        <v>70</v>
      </c>
      <c r="D9" s="11">
        <v>76</v>
      </c>
      <c r="E9" s="11">
        <v>25</v>
      </c>
      <c r="F9" s="11">
        <v>55</v>
      </c>
      <c r="G9" s="11">
        <v>80</v>
      </c>
      <c r="H9" s="11">
        <v>91</v>
      </c>
      <c r="I9" s="11">
        <v>51</v>
      </c>
      <c r="J9" s="22">
        <v>83</v>
      </c>
      <c r="K9" s="22">
        <v>62</v>
      </c>
      <c r="L9" s="15">
        <f t="shared" si="2"/>
        <v>70.333333333333329</v>
      </c>
      <c r="M9" s="60">
        <f t="shared" si="3"/>
        <v>65.333333333333329</v>
      </c>
      <c r="N9" s="21"/>
      <c r="O9" s="17" t="s">
        <v>19</v>
      </c>
      <c r="P9" s="17">
        <v>100</v>
      </c>
      <c r="Q9" s="17" t="s">
        <v>20</v>
      </c>
      <c r="R9" s="17">
        <v>60</v>
      </c>
    </row>
    <row r="10" spans="1:18" ht="24" customHeight="1" x14ac:dyDescent="0.3">
      <c r="A10" s="20">
        <v>8</v>
      </c>
      <c r="B10" s="51" t="s">
        <v>47</v>
      </c>
      <c r="C10" s="11"/>
      <c r="D10" s="11"/>
      <c r="E10" s="11">
        <v>99</v>
      </c>
      <c r="F10" s="11">
        <v>96</v>
      </c>
      <c r="G10" s="11">
        <v>81</v>
      </c>
      <c r="H10" s="11">
        <v>91</v>
      </c>
      <c r="I10" s="11">
        <v>92</v>
      </c>
      <c r="J10" s="11">
        <v>85</v>
      </c>
      <c r="K10" s="11">
        <v>93</v>
      </c>
      <c r="L10" s="62">
        <f t="shared" si="2"/>
        <v>89.666666666666671</v>
      </c>
      <c r="M10" s="60">
        <f t="shared" si="3"/>
        <v>90</v>
      </c>
      <c r="N10" s="21"/>
      <c r="O10" s="16"/>
      <c r="P10" s="17"/>
      <c r="Q10" s="17"/>
      <c r="R10" s="17"/>
    </row>
    <row r="11" spans="1:18" ht="24" customHeight="1" x14ac:dyDescent="0.3">
      <c r="A11" s="20">
        <v>9</v>
      </c>
      <c r="B11" s="51" t="s">
        <v>48</v>
      </c>
      <c r="C11" s="11"/>
      <c r="D11" s="11"/>
      <c r="E11" s="11">
        <v>80</v>
      </c>
      <c r="F11" s="11">
        <v>77</v>
      </c>
      <c r="G11" s="11">
        <v>88</v>
      </c>
      <c r="H11" s="11">
        <v>53</v>
      </c>
      <c r="I11" s="11">
        <v>88</v>
      </c>
      <c r="J11" s="11">
        <v>81</v>
      </c>
      <c r="K11" s="11">
        <v>83</v>
      </c>
      <c r="L11" s="62">
        <f t="shared" si="2"/>
        <v>78.333333333333329</v>
      </c>
      <c r="M11" s="60">
        <f t="shared" si="3"/>
        <v>84</v>
      </c>
      <c r="N11" s="21"/>
      <c r="O11" s="16"/>
      <c r="P11" s="17"/>
      <c r="Q11" s="17"/>
      <c r="R11" s="17"/>
    </row>
    <row r="12" spans="1:18" ht="24" customHeight="1" thickBot="1" x14ac:dyDescent="0.35">
      <c r="A12" s="63">
        <v>10</v>
      </c>
      <c r="B12" s="50" t="s">
        <v>49</v>
      </c>
      <c r="C12" s="11">
        <v>92</v>
      </c>
      <c r="D12" s="11">
        <v>92</v>
      </c>
      <c r="E12" s="11">
        <v>97</v>
      </c>
      <c r="F12" s="11">
        <v>85</v>
      </c>
      <c r="G12" s="11">
        <v>87</v>
      </c>
      <c r="H12" s="11">
        <v>79</v>
      </c>
      <c r="I12" s="11">
        <v>84</v>
      </c>
      <c r="J12" s="11">
        <v>99</v>
      </c>
      <c r="K12" s="11">
        <v>91</v>
      </c>
      <c r="L12" s="60">
        <f t="shared" si="2"/>
        <v>87.5</v>
      </c>
      <c r="M12" s="60">
        <f t="shared" si="3"/>
        <v>91.333333333333329</v>
      </c>
      <c r="N12" s="21"/>
      <c r="O12" s="16">
        <v>45266</v>
      </c>
      <c r="P12" s="17">
        <v>100</v>
      </c>
      <c r="Q12" s="16">
        <v>44929</v>
      </c>
      <c r="R12" s="17">
        <v>0</v>
      </c>
    </row>
    <row r="13" spans="1:18" ht="17.25" customHeight="1" thickTop="1" thickBot="1" x14ac:dyDescent="0.65">
      <c r="A13" s="65" t="s">
        <v>25</v>
      </c>
      <c r="B13" s="66"/>
      <c r="C13" s="33">
        <f>SUM(C3:C12)/36</f>
        <v>8.25</v>
      </c>
      <c r="D13" s="33">
        <f>SUM(D3:D12)/36</f>
        <v>8.6944444444444446</v>
      </c>
      <c r="E13" s="34">
        <f t="shared" ref="E13:M13" si="4">AVERAGE(E3:E12)</f>
        <v>61.222222222222221</v>
      </c>
      <c r="F13" s="33">
        <f t="shared" si="4"/>
        <v>68.333333333333329</v>
      </c>
      <c r="G13" s="33">
        <f t="shared" si="4"/>
        <v>74</v>
      </c>
      <c r="H13" s="33">
        <f t="shared" si="4"/>
        <v>72.099999999999994</v>
      </c>
      <c r="I13" s="33">
        <f t="shared" si="4"/>
        <v>61.8</v>
      </c>
      <c r="J13" s="33">
        <f t="shared" si="4"/>
        <v>67.8</v>
      </c>
      <c r="K13" s="33">
        <f t="shared" si="4"/>
        <v>72.5</v>
      </c>
      <c r="L13" s="35">
        <f t="shared" si="4"/>
        <v>69.666666666666671</v>
      </c>
      <c r="M13" s="35">
        <f t="shared" si="4"/>
        <v>67.36666666666666</v>
      </c>
      <c r="N13" s="36"/>
      <c r="O13" s="37"/>
      <c r="P13" s="37"/>
      <c r="Q13" s="38"/>
      <c r="R13" s="38"/>
    </row>
    <row r="14" spans="1:18" x14ac:dyDescent="0.3">
      <c r="A14" s="67" t="s">
        <v>26</v>
      </c>
      <c r="B14" s="68"/>
      <c r="C14" s="39"/>
      <c r="D14" s="39"/>
      <c r="E14" s="39"/>
      <c r="F14" s="39"/>
      <c r="G14" s="39"/>
      <c r="H14" s="39"/>
      <c r="I14" s="39"/>
      <c r="J14" s="39"/>
      <c r="K14" s="39"/>
      <c r="L14" s="40" t="s">
        <v>27</v>
      </c>
      <c r="M14" s="41" t="s">
        <v>27</v>
      </c>
    </row>
    <row r="15" spans="1:18" ht="14.25" customHeight="1" x14ac:dyDescent="0.3">
      <c r="A15" s="69" t="s">
        <v>28</v>
      </c>
      <c r="B15" s="70"/>
      <c r="L15" s="41"/>
      <c r="M15" s="41"/>
    </row>
    <row r="16" spans="1:18" ht="12.75" customHeight="1" x14ac:dyDescent="0.3">
      <c r="A16" s="71" t="s">
        <v>29</v>
      </c>
      <c r="B16" s="72"/>
      <c r="C16" s="39"/>
      <c r="D16" s="39"/>
      <c r="E16" s="39"/>
      <c r="F16" s="39"/>
      <c r="G16" s="39"/>
      <c r="H16" s="39"/>
      <c r="I16" s="39"/>
      <c r="J16" s="39"/>
      <c r="K16" s="39"/>
      <c r="L16" s="41"/>
      <c r="M16" s="41"/>
      <c r="N16" s="44"/>
    </row>
    <row r="17" spans="1:18" x14ac:dyDescent="0.3">
      <c r="A17" s="45" t="s">
        <v>30</v>
      </c>
      <c r="L17" s="41"/>
      <c r="M17" s="41"/>
    </row>
    <row r="18" spans="1:18" s="42" customFormat="1" x14ac:dyDescent="0.3">
      <c r="A18" s="47" t="s">
        <v>31</v>
      </c>
      <c r="B18" s="46"/>
      <c r="C18" s="43"/>
      <c r="D18" s="43"/>
      <c r="E18" s="43"/>
      <c r="F18" s="43"/>
      <c r="G18" s="43"/>
      <c r="H18" s="43"/>
      <c r="I18" s="43"/>
      <c r="J18" s="43"/>
      <c r="K18" s="43"/>
      <c r="L18" s="40"/>
      <c r="M18" s="41"/>
      <c r="O18" s="1"/>
      <c r="P18" s="1"/>
      <c r="Q18" s="1"/>
      <c r="R18" s="1"/>
    </row>
    <row r="19" spans="1:18" s="42" customFormat="1" x14ac:dyDescent="0.3">
      <c r="A19" s="48" t="s">
        <v>32</v>
      </c>
      <c r="B19" s="46"/>
      <c r="C19" s="43"/>
      <c r="D19" s="43" t="s">
        <v>27</v>
      </c>
      <c r="E19" s="43"/>
      <c r="F19" s="43"/>
      <c r="G19" s="43"/>
      <c r="H19" s="43"/>
      <c r="I19" s="43"/>
      <c r="J19" s="43"/>
      <c r="K19" s="43"/>
      <c r="L19" s="40"/>
      <c r="M19" s="41"/>
      <c r="O19" s="1"/>
      <c r="P19" s="1"/>
      <c r="Q19" s="1"/>
      <c r="R19" s="1"/>
    </row>
  </sheetData>
  <mergeCells count="5">
    <mergeCell ref="A1:N1"/>
    <mergeCell ref="A13:B13"/>
    <mergeCell ref="A14:B14"/>
    <mergeCell ref="A15:B15"/>
    <mergeCell ref="A16:B16"/>
  </mergeCells>
  <printOptions horizontalCentered="1" verticalCentered="1"/>
  <pageMargins left="0" right="0" top="0" bottom="0" header="0" footer="0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1st Week</vt:lpstr>
      <vt:lpstr>2nd Week</vt:lpstr>
      <vt:lpstr>3rd Week</vt:lpstr>
      <vt:lpstr>4th Week</vt:lpstr>
      <vt:lpstr>5th Week</vt:lpstr>
      <vt:lpstr>'1st Week'!Print_Area</vt:lpstr>
      <vt:lpstr>'2nd Week'!Print_Area</vt:lpstr>
      <vt:lpstr>'3rd Week'!Print_Area</vt:lpstr>
      <vt:lpstr>'4th Week'!Print_Area</vt:lpstr>
      <vt:lpstr>'5th Week'!Print_Area</vt:lpstr>
      <vt:lpstr>'1st Week'!Print_Titles</vt:lpstr>
      <vt:lpstr>'2nd Week'!Print_Titles</vt:lpstr>
      <vt:lpstr>'3rd Week'!Print_Titles</vt:lpstr>
      <vt:lpstr>'4th Week'!Print_Titles</vt:lpstr>
      <vt:lpstr>'5th Week'!Print_Titles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Orozco, Melissa</dc:creator>
  <cp:lastModifiedBy>Orozco, Melissa</cp:lastModifiedBy>
  <dcterms:created xsi:type="dcterms:W3CDTF">2025-04-07T17:59:51Z</dcterms:created>
  <dcterms:modified xsi:type="dcterms:W3CDTF">2026-09-11T16:35:15Z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0f647f-2cdb-4dca-971d-54654863036f_Enabled">
    <vt:lpwstr>true</vt:lpwstr>
  </property>
  <property fmtid="{D5CDD505-2E9C-101B-9397-08002B2CF9AE}" pid="3" name="MSIP_Label_170f647f-2cdb-4dca-971d-54654863036f_SetDate">
    <vt:lpwstr>2025-04-07T18:00:29Z</vt:lpwstr>
  </property>
  <property fmtid="{D5CDD505-2E9C-101B-9397-08002B2CF9AE}" pid="4" name="MSIP_Label_170f647f-2cdb-4dca-971d-54654863036f_Method">
    <vt:lpwstr>Standard</vt:lpwstr>
  </property>
  <property fmtid="{D5CDD505-2E9C-101B-9397-08002B2CF9AE}" pid="5" name="MSIP_Label_170f647f-2cdb-4dca-971d-54654863036f_Name">
    <vt:lpwstr>170f647f-2cdb-4dca-971d-54654863036f</vt:lpwstr>
  </property>
  <property fmtid="{D5CDD505-2E9C-101B-9397-08002B2CF9AE}" pid="6" name="MSIP_Label_170f647f-2cdb-4dca-971d-54654863036f_SiteId">
    <vt:lpwstr>a2aff3af-b29c-493c-ae8f-b8b1a8e84782</vt:lpwstr>
  </property>
  <property fmtid="{D5CDD505-2E9C-101B-9397-08002B2CF9AE}" pid="7" name="MSIP_Label_170f647f-2cdb-4dca-971d-54654863036f_ActionId">
    <vt:lpwstr>370cf9eb-da95-4b7b-ace4-b36e3bd81033</vt:lpwstr>
  </property>
  <property fmtid="{D5CDD505-2E9C-101B-9397-08002B2CF9AE}" pid="8" name="MSIP_Label_170f647f-2cdb-4dca-971d-54654863036f_ContentBits">
    <vt:lpwstr>0</vt:lpwstr>
  </property>
</Properties>
</file>